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guscomserv-my.sharepoint.com/personal/gabriel_faria_argusolutions_com_br/Documents/Gabriel/analise-contas/"/>
    </mc:Choice>
  </mc:AlternateContent>
  <xr:revisionPtr revIDLastSave="4" documentId="13_ncr:1_{1EB7AF30-5596-45ED-943B-0A0C114DCFEC}" xr6:coauthVersionLast="47" xr6:coauthVersionMax="47" xr10:uidLastSave="{E80077E3-1A74-4942-B3F0-E24EA48A868B}"/>
  <bookViews>
    <workbookView xWindow="28680" yWindow="-60" windowWidth="29040" windowHeight="15720" xr2:uid="{00000000-000D-0000-FFFF-FFFF00000000}"/>
  </bookViews>
  <sheets>
    <sheet name="CONTAS" sheetId="1" r:id="rId1"/>
    <sheet name="GANHO MENSAL" sheetId="2" r:id="rId2"/>
    <sheet name="GASTOS " sheetId="3" r:id="rId3"/>
  </sheets>
  <definedNames>
    <definedName name="_xlnm._FilterDatabase" localSheetId="2" hidden="1">'GASTOS '!$A$12:$F$65</definedName>
    <definedName name="Z_A04CA662_49CD_4078_B287_C9C19C6AE4EB_.wvu.FilterData" localSheetId="2" hidden="1">'GASTOS '!$A$12:$F$65</definedName>
  </definedNames>
  <calcPr calcId="191029"/>
  <customWorkbookViews>
    <customWorkbookView name="Agrupar por MES" guid="{A04CA662-49CD-4078-B287-C9C19C6AE4E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1" l="1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B8" i="3"/>
  <c r="B9" i="3" s="1"/>
  <c r="B7" i="3"/>
  <c r="B3" i="3"/>
  <c r="B2" i="3"/>
  <c r="B4" i="3" s="1"/>
  <c r="C29" i="2"/>
  <c r="C28" i="2"/>
  <c r="C27" i="2"/>
  <c r="C26" i="2"/>
  <c r="C25" i="2"/>
  <c r="C24" i="2"/>
  <c r="C23" i="2"/>
  <c r="C22" i="2"/>
  <c r="C21" i="2"/>
  <c r="C20" i="2"/>
  <c r="AB30" i="1"/>
  <c r="D29" i="2" s="1"/>
  <c r="E29" i="2" s="1"/>
  <c r="AA30" i="1"/>
  <c r="D28" i="2" s="1"/>
  <c r="E28" i="2" s="1"/>
  <c r="Z30" i="1"/>
  <c r="D27" i="2" s="1"/>
  <c r="E27" i="2" s="1"/>
  <c r="Y30" i="1"/>
  <c r="D26" i="2" s="1"/>
  <c r="E26" i="2" s="1"/>
  <c r="X30" i="1"/>
  <c r="D25" i="2" s="1"/>
  <c r="E25" i="2" s="1"/>
  <c r="W30" i="1"/>
  <c r="D24" i="2" s="1"/>
  <c r="E24" i="2" s="1"/>
  <c r="V30" i="1"/>
  <c r="D23" i="2" s="1"/>
  <c r="E23" i="2" s="1"/>
  <c r="U30" i="1"/>
  <c r="D22" i="2" s="1"/>
  <c r="E22" i="2" s="1"/>
  <c r="D21" i="2"/>
  <c r="E21" i="2" s="1"/>
  <c r="F21" i="2" s="1"/>
  <c r="S30" i="1"/>
  <c r="D20" i="2" s="1"/>
  <c r="E20" i="2" s="1"/>
  <c r="R30" i="1"/>
  <c r="F22" i="2" l="1"/>
  <c r="F23" i="2" s="1"/>
  <c r="F24" i="2" s="1"/>
  <c r="F25" i="2" s="1"/>
  <c r="F26" i="2" s="1"/>
  <c r="F27" i="2" s="1"/>
  <c r="F28" i="2" s="1"/>
  <c r="F29" i="2" s="1"/>
</calcChain>
</file>

<file path=xl/sharedStrings.xml><?xml version="1.0" encoding="utf-8"?>
<sst xmlns="http://schemas.openxmlformats.org/spreadsheetml/2006/main" count="268" uniqueCount="108">
  <si>
    <t>PROGRAMAÇÃO DE CONTAS</t>
  </si>
  <si>
    <t>MÊS REFERENCIA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</si>
  <si>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</si>
  <si>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</si>
  <si>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</si>
  <si>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</si>
  <si>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</si>
  <si>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</si>
  <si>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</si>
  <si>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</si>
  <si>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</si>
  <si>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</si>
  <si>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</si>
  <si>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</si>
  <si>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CELULAR DA FRAN</t>
  </si>
  <si>
    <t xml:space="preserve">Vai ate 05/2026 </t>
  </si>
  <si>
    <t>SOFÁ</t>
  </si>
  <si>
    <t xml:space="preserve">Vai ate 10/2026 </t>
  </si>
  <si>
    <t>INTERNET</t>
  </si>
  <si>
    <t>SEMAE</t>
  </si>
  <si>
    <t>CPFL</t>
  </si>
  <si>
    <t>CARTÃO MAIS</t>
  </si>
  <si>
    <t>Faltam 1(FEITA EM 16X)</t>
  </si>
  <si>
    <t>NUBANK</t>
  </si>
  <si>
    <t>MARIA ANTONIA</t>
  </si>
  <si>
    <t>Faltam 510</t>
  </si>
  <si>
    <t>JAQUELINE</t>
  </si>
  <si>
    <t xml:space="preserve">EMPRÉSTIMO PAI </t>
  </si>
  <si>
    <t>Falta 17 (FEITA EM 36X)</t>
  </si>
  <si>
    <t>Falta 24 (FEITA EM 48X)</t>
  </si>
  <si>
    <t>SHOPEE</t>
  </si>
  <si>
    <t>Falta 11 (FEITA EM 12X)</t>
  </si>
  <si>
    <t>ALINE (GABRIEL)</t>
  </si>
  <si>
    <t>Falta 01 (FEITA EM 03X)</t>
  </si>
  <si>
    <t>CABELO DA FRAN</t>
  </si>
  <si>
    <t>Faltam 1 parcelas</t>
  </si>
  <si>
    <t>VIDEOGAME</t>
  </si>
  <si>
    <t>Faltam 05 (FEITA EM 06X)</t>
  </si>
  <si>
    <t>VIVO FRAN</t>
  </si>
  <si>
    <t>FARMACIA</t>
  </si>
  <si>
    <t>PSICOLOGA</t>
  </si>
  <si>
    <t>SOBRANCELHA</t>
  </si>
  <si>
    <t>GASTOS EM CAMPINAS</t>
  </si>
  <si>
    <t>SARA</t>
  </si>
  <si>
    <t>20/04 e 20/05</t>
  </si>
  <si>
    <t>CORTE DE CABELO</t>
  </si>
  <si>
    <t>CURSO</t>
  </si>
  <si>
    <t>Faltam 08 (FEITA EM 08x)</t>
  </si>
  <si>
    <t>CANAL TV</t>
  </si>
  <si>
    <t>ACADEMIA</t>
  </si>
  <si>
    <t>SUPERMERCADO</t>
  </si>
  <si>
    <t>TOTAL DE CONTAS</t>
  </si>
  <si>
    <t>divórcio</t>
  </si>
  <si>
    <t xml:space="preserve"> </t>
  </si>
  <si>
    <t xml:space="preserve">GANHO MENSAL </t>
  </si>
  <si>
    <t>MÊS REF</t>
  </si>
  <si>
    <t>SALARIO</t>
  </si>
  <si>
    <t xml:space="preserve">SEGURO  </t>
  </si>
  <si>
    <t xml:space="preserve">ABONO SALARIAL </t>
  </si>
  <si>
    <t xml:space="preserve">RESERVA ATUAL NO SANTANDER </t>
  </si>
  <si>
    <t>RECEITA BRUTA MENSAL</t>
  </si>
  <si>
    <t>ENTRADA</t>
  </si>
  <si>
    <t>SAÍDA</t>
  </si>
  <si>
    <t>TOTAL</t>
  </si>
  <si>
    <t>PREVISÃO POUPANÇA</t>
  </si>
  <si>
    <t>CATEGORIA</t>
  </si>
  <si>
    <t>TOTAL DE GASTOS MARÇO</t>
  </si>
  <si>
    <t>DINHEIRO</t>
  </si>
  <si>
    <t>REFEIÇÃO</t>
  </si>
  <si>
    <t>VALOR TOTAL</t>
  </si>
  <si>
    <t>TOTAL DE GASTOS ABRIL</t>
  </si>
  <si>
    <t>DATA</t>
  </si>
  <si>
    <t>MES</t>
  </si>
  <si>
    <t>LOCAL GASTO</t>
  </si>
  <si>
    <t>VALOR</t>
  </si>
  <si>
    <t>FONTE DE SAIDA</t>
  </si>
  <si>
    <t>Coluna 1</t>
  </si>
  <si>
    <t>11/03/0206</t>
  </si>
  <si>
    <t>Saída Fran</t>
  </si>
  <si>
    <t>Cabelo Gabriel</t>
  </si>
  <si>
    <t>Contas</t>
  </si>
  <si>
    <t>Supermercado</t>
  </si>
  <si>
    <t>Pizza Hut</t>
  </si>
  <si>
    <t>Churros</t>
  </si>
  <si>
    <t>Taxa Ubatuba</t>
  </si>
  <si>
    <t>Padaria</t>
  </si>
  <si>
    <t>Arredondamento</t>
  </si>
  <si>
    <t>Açai</t>
  </si>
  <si>
    <t>Multa</t>
  </si>
  <si>
    <t>Jessica Rauany</t>
  </si>
  <si>
    <t>Uber</t>
  </si>
  <si>
    <t>Saída Gabriel</t>
  </si>
  <si>
    <t>Aline (Gabriel)</t>
  </si>
  <si>
    <t>Sorvete</t>
  </si>
  <si>
    <t>Combustivel</t>
  </si>
  <si>
    <t>Academia</t>
  </si>
  <si>
    <t>Agua</t>
  </si>
  <si>
    <t xml:space="preserve">Academia </t>
  </si>
  <si>
    <t>Canal TV</t>
  </si>
  <si>
    <t>Gabriel</t>
  </si>
  <si>
    <t>Gastos Franciele</t>
  </si>
  <si>
    <t xml:space="preserve">Inga </t>
  </si>
  <si>
    <t>02/04/0206</t>
  </si>
  <si>
    <t>Ifood</t>
  </si>
  <si>
    <t>Geraldo</t>
  </si>
  <si>
    <t>04/04/0206</t>
  </si>
  <si>
    <t>Gasolina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</si>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</sst>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\ * #,##0.00_-;\-&quot;R$&quot;\ * #,##0.00_-;_-&quot;R$&quot;\ * &quot;-&quot;??_-;_-@"/>
    <numFmt numFmtId="165" formatCode="dd/mm"/>
    <numFmt numFmtId="166" formatCode="[$R$ -416]#,##0.00"/>
  </numFmts>
  <fonts count="24">
    <font>
      <sz val="11"/>
      <color theme="1"/>
      <name val="Aptos Narrow"/>
      <scheme val="minor"/>
    </font>
    <font>
      <b/>
      <sz val="20"/>
      <color rgb="FFFFFFFF"/>
      <name val="Arial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0"/>
      <name val="Aptos Narrow"/>
    </font>
    <font>
      <b/>
      <sz val="11"/>
      <color theme="0"/>
      <name val="Arial"/>
    </font>
    <font>
      <b/>
      <sz val="8"/>
      <color theme="1"/>
      <name val="Aptos Narrow"/>
    </font>
    <font>
      <sz val="12"/>
      <color theme="1"/>
      <name val="Courier New"/>
    </font>
    <font>
      <sz val="9"/>
      <color theme="1"/>
      <name val="Arial"/>
    </font>
    <font>
      <sz val="9"/>
      <color theme="1"/>
      <name val="Aptos Narrow"/>
    </font>
    <font>
      <b/>
      <sz val="11"/>
      <color rgb="FF000000"/>
      <name val="Aptos Narrow"/>
    </font>
    <font>
      <b/>
      <sz val="11"/>
      <color theme="1"/>
      <name val="Arial"/>
    </font>
    <font>
      <b/>
      <sz val="8"/>
      <color theme="1"/>
      <name val="Arial"/>
    </font>
    <font>
      <b/>
      <sz val="14"/>
      <color rgb="FFFFFFFF"/>
      <name val="Bahnschrift SemiBold Condensed"/>
    </font>
    <font>
      <b/>
      <sz val="11"/>
      <color rgb="FFFFFFFF"/>
      <name val="Aptos Narrow"/>
    </font>
    <font>
      <sz val="12"/>
      <color rgb="FFFFFFFF"/>
      <name val="Aptos"/>
    </font>
    <font>
      <sz val="11"/>
      <color theme="1"/>
      <name val="Arial"/>
    </font>
    <font>
      <sz val="12"/>
      <color rgb="FFFFFFFF"/>
      <name val="Aptos Narrow"/>
    </font>
    <font>
      <b/>
      <sz val="11"/>
      <color rgb="FFFFFFFF"/>
      <name val="Arial"/>
    </font>
    <font>
      <b/>
      <sz val="10"/>
      <color theme="1"/>
      <name val="Arial"/>
    </font>
    <font>
      <sz val="14"/>
      <color rgb="FFFFFFFF"/>
      <name val="Aptos Narrow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C0C0C"/>
        <bgColor rgb="FF0C0C0C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  <fill>
      <patternFill patternType="solid">
        <fgColor theme="1"/>
        <bgColor theme="1"/>
      </patternFill>
    </fill>
    <fill>
      <patternFill patternType="solid">
        <fgColor rgb="FF78206E"/>
        <bgColor rgb="FF78206E"/>
      </patternFill>
    </fill>
    <fill>
      <patternFill patternType="solid">
        <fgColor rgb="FFFFFFFF"/>
        <bgColor rgb="FFFFFFFF"/>
      </patternFill>
    </fill>
    <fill>
      <patternFill patternType="solid">
        <fgColor rgb="FFBF4F14"/>
        <bgColor rgb="FFBF4F14"/>
      </patternFill>
    </fill>
    <fill>
      <patternFill patternType="solid">
        <fgColor theme="6"/>
        <bgColor theme="6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17" fontId="5" fillId="3" borderId="4" xfId="0" applyNumberFormat="1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17" fontId="6" fillId="3" borderId="5" xfId="0" applyNumberFormat="1" applyFont="1" applyFill="1" applyBorder="1" applyAlignment="1">
      <alignment horizontal="right" vertical="center"/>
    </xf>
    <xf numFmtId="17" fontId="6" fillId="3" borderId="6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7" fillId="4" borderId="4" xfId="0" applyFont="1" applyFill="1" applyBorder="1" applyAlignment="1">
      <alignment horizontal="left" vertical="center"/>
    </xf>
    <xf numFmtId="164" fontId="4" fillId="5" borderId="4" xfId="0" applyNumberFormat="1" applyFont="1" applyFill="1" applyBorder="1" applyAlignment="1">
      <alignment horizontal="left" vertical="center"/>
    </xf>
    <xf numFmtId="164" fontId="4" fillId="5" borderId="7" xfId="0" applyNumberFormat="1" applyFont="1" applyFill="1" applyBorder="1" applyAlignment="1">
      <alignment horizontal="left" vertical="center"/>
    </xf>
    <xf numFmtId="164" fontId="8" fillId="6" borderId="8" xfId="0" applyNumberFormat="1" applyFont="1" applyFill="1" applyBorder="1" applyAlignment="1">
      <alignment horizontal="left" vertical="center"/>
    </xf>
    <xf numFmtId="164" fontId="8" fillId="6" borderId="9" xfId="0" applyNumberFormat="1" applyFont="1" applyFill="1" applyBorder="1" applyAlignment="1">
      <alignment horizontal="left" vertical="center"/>
    </xf>
    <xf numFmtId="164" fontId="8" fillId="5" borderId="9" xfId="0" applyNumberFormat="1" applyFont="1" applyFill="1" applyBorder="1" applyAlignment="1">
      <alignment horizontal="left" vertical="center"/>
    </xf>
    <xf numFmtId="164" fontId="8" fillId="5" borderId="10" xfId="0" applyNumberFormat="1" applyFont="1" applyFill="1" applyBorder="1" applyAlignment="1">
      <alignment horizontal="left" vertical="center"/>
    </xf>
    <xf numFmtId="164" fontId="8" fillId="5" borderId="11" xfId="0" applyNumberFormat="1" applyFont="1" applyFill="1" applyBorder="1" applyAlignment="1">
      <alignment horizontal="left" vertical="center"/>
    </xf>
    <xf numFmtId="164" fontId="8" fillId="5" borderId="12" xfId="0" applyNumberFormat="1" applyFont="1" applyFill="1" applyBorder="1" applyAlignment="1">
      <alignment horizontal="left" vertical="center"/>
    </xf>
    <xf numFmtId="0" fontId="9" fillId="0" borderId="0" xfId="0" applyFont="1"/>
    <xf numFmtId="164" fontId="4" fillId="0" borderId="0" xfId="0" applyNumberFormat="1" applyFont="1" applyAlignment="1">
      <alignment horizontal="left" vertical="center"/>
    </xf>
    <xf numFmtId="164" fontId="8" fillId="6" borderId="13" xfId="0" applyNumberFormat="1" applyFont="1" applyFill="1" applyBorder="1" applyAlignment="1">
      <alignment horizontal="left" vertical="center"/>
    </xf>
    <xf numFmtId="164" fontId="8" fillId="6" borderId="4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7" xfId="0" applyNumberFormat="1" applyFont="1" applyFill="1" applyBorder="1" applyAlignment="1">
      <alignment horizontal="left" vertical="center"/>
    </xf>
    <xf numFmtId="164" fontId="8" fillId="5" borderId="0" xfId="0" applyNumberFormat="1" applyFont="1" applyFill="1" applyAlignment="1">
      <alignment horizontal="left" vertical="center"/>
    </xf>
    <xf numFmtId="164" fontId="8" fillId="5" borderId="14" xfId="0" applyNumberFormat="1" applyFont="1" applyFill="1" applyBorder="1" applyAlignment="1">
      <alignment horizontal="left" vertical="center"/>
    </xf>
    <xf numFmtId="0" fontId="10" fillId="0" borderId="0" xfId="0" applyFont="1"/>
    <xf numFmtId="164" fontId="11" fillId="5" borderId="4" xfId="0" applyNumberFormat="1" applyFont="1" applyFill="1" applyBorder="1" applyAlignment="1">
      <alignment horizontal="left" vertical="center"/>
    </xf>
    <xf numFmtId="0" fontId="12" fillId="0" borderId="0" xfId="0" applyFont="1"/>
    <xf numFmtId="0" fontId="13" fillId="4" borderId="4" xfId="0" applyFont="1" applyFill="1" applyBorder="1" applyAlignment="1">
      <alignment horizontal="left" vertical="center"/>
    </xf>
    <xf numFmtId="164" fontId="12" fillId="5" borderId="4" xfId="0" applyNumberFormat="1" applyFont="1" applyFill="1" applyBorder="1" applyAlignment="1">
      <alignment horizontal="left" vertical="center"/>
    </xf>
    <xf numFmtId="164" fontId="8" fillId="5" borderId="15" xfId="0" applyNumberFormat="1" applyFont="1" applyFill="1" applyBorder="1" applyAlignment="1">
      <alignment horizontal="left" vertical="center"/>
    </xf>
    <xf numFmtId="0" fontId="13" fillId="4" borderId="15" xfId="0" applyFont="1" applyFill="1" applyBorder="1" applyAlignment="1">
      <alignment horizontal="left" vertical="center"/>
    </xf>
    <xf numFmtId="164" fontId="4" fillId="5" borderId="16" xfId="0" applyNumberFormat="1" applyFont="1" applyFill="1" applyBorder="1" applyAlignment="1">
      <alignment horizontal="left" vertical="center"/>
    </xf>
    <xf numFmtId="164" fontId="8" fillId="6" borderId="17" xfId="0" applyNumberFormat="1" applyFont="1" applyFill="1" applyBorder="1" applyAlignment="1">
      <alignment horizontal="left" vertical="center"/>
    </xf>
    <xf numFmtId="164" fontId="8" fillId="6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164" fontId="8" fillId="6" borderId="0" xfId="0" applyNumberFormat="1" applyFont="1" applyFill="1" applyAlignment="1">
      <alignment horizontal="left" vertical="center"/>
    </xf>
    <xf numFmtId="164" fontId="8" fillId="5" borderId="18" xfId="0" applyNumberFormat="1" applyFont="1" applyFill="1" applyBorder="1" applyAlignment="1">
      <alignment horizontal="left" vertical="center"/>
    </xf>
    <xf numFmtId="164" fontId="8" fillId="5" borderId="5" xfId="0" applyNumberFormat="1" applyFont="1" applyFill="1" applyBorder="1" applyAlignment="1">
      <alignment horizontal="left" vertical="center"/>
    </xf>
    <xf numFmtId="164" fontId="8" fillId="5" borderId="6" xfId="0" applyNumberFormat="1" applyFont="1" applyFill="1" applyBorder="1" applyAlignment="1">
      <alignment horizontal="left" vertical="center"/>
    </xf>
    <xf numFmtId="0" fontId="13" fillId="4" borderId="14" xfId="0" applyFont="1" applyFill="1" applyBorder="1" applyAlignment="1">
      <alignment horizontal="left" vertical="center"/>
    </xf>
    <xf numFmtId="164" fontId="4" fillId="5" borderId="0" xfId="0" applyNumberFormat="1" applyFont="1" applyFill="1" applyAlignment="1">
      <alignment horizontal="left" vertical="center"/>
    </xf>
    <xf numFmtId="164" fontId="12" fillId="5" borderId="0" xfId="0" applyNumberFormat="1" applyFont="1" applyFill="1" applyAlignment="1">
      <alignment horizontal="left" vertical="center"/>
    </xf>
    <xf numFmtId="0" fontId="14" fillId="7" borderId="19" xfId="0" applyFont="1" applyFill="1" applyBorder="1" applyAlignment="1">
      <alignment horizontal="left"/>
    </xf>
    <xf numFmtId="0" fontId="15" fillId="7" borderId="20" xfId="0" applyFont="1" applyFill="1" applyBorder="1"/>
    <xf numFmtId="0" fontId="15" fillId="7" borderId="20" xfId="0" applyFont="1" applyFill="1" applyBorder="1" applyAlignment="1">
      <alignment horizontal="left" vertical="center"/>
    </xf>
    <xf numFmtId="164" fontId="16" fillId="7" borderId="2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12" fillId="5" borderId="4" xfId="0" applyFont="1" applyFill="1" applyBorder="1"/>
    <xf numFmtId="0" fontId="4" fillId="5" borderId="4" xfId="0" applyFont="1" applyFill="1" applyBorder="1"/>
    <xf numFmtId="0" fontId="4" fillId="5" borderId="22" xfId="0" applyFont="1" applyFill="1" applyBorder="1"/>
    <xf numFmtId="0" fontId="3" fillId="5" borderId="4" xfId="0" applyFont="1" applyFill="1" applyBorder="1"/>
    <xf numFmtId="9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3" fillId="0" borderId="0" xfId="0" applyNumberFormat="1" applyFont="1"/>
    <xf numFmtId="0" fontId="17" fillId="5" borderId="4" xfId="0" applyFont="1" applyFill="1" applyBorder="1"/>
    <xf numFmtId="0" fontId="3" fillId="9" borderId="4" xfId="0" applyFont="1" applyFill="1" applyBorder="1"/>
    <xf numFmtId="0" fontId="4" fillId="9" borderId="4" xfId="0" applyFont="1" applyFill="1" applyBorder="1"/>
    <xf numFmtId="0" fontId="17" fillId="9" borderId="4" xfId="0" applyFont="1" applyFill="1" applyBorder="1"/>
    <xf numFmtId="0" fontId="20" fillId="9" borderId="28" xfId="0" applyFont="1" applyFill="1" applyBorder="1"/>
    <xf numFmtId="164" fontId="17" fillId="9" borderId="4" xfId="0" applyNumberFormat="1" applyFont="1" applyFill="1" applyBorder="1"/>
    <xf numFmtId="164" fontId="17" fillId="9" borderId="4" xfId="0" applyNumberFormat="1" applyFont="1" applyFill="1" applyBorder="1" applyAlignment="1">
      <alignment horizontal="center"/>
    </xf>
    <xf numFmtId="164" fontId="3" fillId="9" borderId="4" xfId="0" applyNumberFormat="1" applyFont="1" applyFill="1" applyBorder="1" applyAlignment="1">
      <alignment horizontal="center"/>
    </xf>
    <xf numFmtId="164" fontId="17" fillId="9" borderId="15" xfId="0" applyNumberFormat="1" applyFont="1" applyFill="1" applyBorder="1" applyAlignment="1">
      <alignment horizontal="center"/>
    </xf>
    <xf numFmtId="165" fontId="17" fillId="9" borderId="4" xfId="0" applyNumberFormat="1" applyFont="1" applyFill="1" applyBorder="1"/>
    <xf numFmtId="164" fontId="3" fillId="9" borderId="15" xfId="0" applyNumberFormat="1" applyFont="1" applyFill="1" applyBorder="1" applyAlignment="1">
      <alignment horizontal="center"/>
    </xf>
    <xf numFmtId="0" fontId="20" fillId="9" borderId="29" xfId="0" applyFont="1" applyFill="1" applyBorder="1"/>
    <xf numFmtId="164" fontId="17" fillId="9" borderId="30" xfId="0" applyNumberFormat="1" applyFont="1" applyFill="1" applyBorder="1"/>
    <xf numFmtId="164" fontId="3" fillId="9" borderId="30" xfId="0" applyNumberFormat="1" applyFont="1" applyFill="1" applyBorder="1" applyAlignment="1">
      <alignment horizontal="center"/>
    </xf>
    <xf numFmtId="164" fontId="17" fillId="9" borderId="30" xfId="0" applyNumberFormat="1" applyFont="1" applyFill="1" applyBorder="1" applyAlignment="1">
      <alignment horizontal="center"/>
    </xf>
    <xf numFmtId="164" fontId="3" fillId="9" borderId="31" xfId="0" applyNumberFormat="1" applyFont="1" applyFill="1" applyBorder="1"/>
    <xf numFmtId="164" fontId="3" fillId="5" borderId="4" xfId="0" applyNumberFormat="1" applyFont="1" applyFill="1" applyBorder="1"/>
    <xf numFmtId="166" fontId="3" fillId="9" borderId="4" xfId="0" applyNumberFormat="1" applyFont="1" applyFill="1" applyBorder="1" applyAlignment="1">
      <alignment horizontal="center"/>
    </xf>
    <xf numFmtId="0" fontId="12" fillId="9" borderId="28" xfId="0" applyFont="1" applyFill="1" applyBorder="1"/>
    <xf numFmtId="164" fontId="3" fillId="9" borderId="4" xfId="0" applyNumberFormat="1" applyFont="1" applyFill="1" applyBorder="1"/>
    <xf numFmtId="164" fontId="17" fillId="9" borderId="15" xfId="0" applyNumberFormat="1" applyFont="1" applyFill="1" applyBorder="1"/>
    <xf numFmtId="164" fontId="3" fillId="9" borderId="15" xfId="0" applyNumberFormat="1" applyFont="1" applyFill="1" applyBorder="1"/>
    <xf numFmtId="0" fontId="12" fillId="9" borderId="29" xfId="0" applyFont="1" applyFill="1" applyBorder="1"/>
    <xf numFmtId="164" fontId="3" fillId="9" borderId="30" xfId="0" applyNumberFormat="1" applyFont="1" applyFill="1" applyBorder="1"/>
    <xf numFmtId="0" fontId="3" fillId="5" borderId="22" xfId="0" applyFont="1" applyFill="1" applyBorder="1"/>
    <xf numFmtId="0" fontId="19" fillId="11" borderId="20" xfId="0" applyFont="1" applyFill="1" applyBorder="1" applyAlignment="1">
      <alignment horizontal="center"/>
    </xf>
    <xf numFmtId="0" fontId="19" fillId="11" borderId="19" xfId="0" applyFont="1" applyFill="1" applyBorder="1" applyAlignment="1">
      <alignment horizontal="center"/>
    </xf>
    <xf numFmtId="0" fontId="3" fillId="0" borderId="4" xfId="0" applyFont="1" applyBorder="1"/>
    <xf numFmtId="0" fontId="12" fillId="0" borderId="20" xfId="0" applyFont="1" applyBorder="1" applyAlignment="1">
      <alignment horizontal="left"/>
    </xf>
    <xf numFmtId="166" fontId="22" fillId="0" borderId="20" xfId="0" applyNumberFormat="1" applyFont="1" applyBorder="1"/>
    <xf numFmtId="0" fontId="3" fillId="0" borderId="16" xfId="0" applyFont="1" applyBorder="1"/>
    <xf numFmtId="0" fontId="23" fillId="0" borderId="20" xfId="0" applyFont="1" applyBorder="1"/>
    <xf numFmtId="0" fontId="12" fillId="0" borderId="20" xfId="0" applyFont="1" applyBorder="1"/>
    <xf numFmtId="166" fontId="3" fillId="0" borderId="20" xfId="0" applyNumberFormat="1" applyFont="1" applyBorder="1" applyAlignment="1">
      <alignment horizontal="right"/>
    </xf>
    <xf numFmtId="0" fontId="17" fillId="0" borderId="34" xfId="0" applyFont="1" applyBorder="1"/>
    <xf numFmtId="166" fontId="3" fillId="0" borderId="35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6" fontId="4" fillId="0" borderId="0" xfId="0" applyNumberFormat="1" applyFont="1" applyAlignment="1">
      <alignment horizontal="left" vertical="center"/>
    </xf>
    <xf numFmtId="0" fontId="3" fillId="0" borderId="22" xfId="0" applyFont="1" applyBorder="1"/>
    <xf numFmtId="14" fontId="17" fillId="0" borderId="4" xfId="0" applyNumberFormat="1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166" fontId="17" fillId="0" borderId="16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6" fontId="3" fillId="0" borderId="16" xfId="0" applyNumberFormat="1" applyFont="1" applyBorder="1" applyAlignment="1">
      <alignment vertical="center"/>
    </xf>
    <xf numFmtId="0" fontId="23" fillId="0" borderId="0" xfId="0" applyFont="1"/>
    <xf numFmtId="166" fontId="3" fillId="0" borderId="4" xfId="0" applyNumberFormat="1" applyFont="1" applyBorder="1"/>
    <xf numFmtId="164" fontId="3" fillId="9" borderId="37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1" fillId="7" borderId="19" xfId="0" applyFont="1" applyFill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18" fillId="7" borderId="19" xfId="0" applyFont="1" applyFill="1" applyBorder="1" applyAlignment="1">
      <alignment horizontal="center"/>
    </xf>
    <xf numFmtId="0" fontId="19" fillId="8" borderId="25" xfId="0" applyFont="1" applyFill="1" applyBorder="1" applyAlignment="1">
      <alignment horizontal="center" vertical="center"/>
    </xf>
    <xf numFmtId="0" fontId="2" fillId="0" borderId="21" xfId="0" applyFont="1" applyBorder="1"/>
    <xf numFmtId="0" fontId="19" fillId="8" borderId="26" xfId="0" applyFont="1" applyFill="1" applyBorder="1" applyAlignment="1">
      <alignment horizontal="right" vertical="center"/>
    </xf>
    <xf numFmtId="0" fontId="2" fillId="0" borderId="27" xfId="0" applyFont="1" applyBorder="1"/>
    <xf numFmtId="0" fontId="19" fillId="8" borderId="25" xfId="0" applyFont="1" applyFill="1" applyBorder="1" applyAlignment="1">
      <alignment horizontal="right" vertical="center"/>
    </xf>
    <xf numFmtId="0" fontId="15" fillId="10" borderId="25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right" vertical="center"/>
    </xf>
    <xf numFmtId="0" fontId="2" fillId="0" borderId="33" xfId="0" applyFont="1" applyBorder="1"/>
    <xf numFmtId="0" fontId="15" fillId="10" borderId="32" xfId="0" applyFont="1" applyFill="1" applyBorder="1" applyAlignment="1">
      <alignment horizontal="right" vertical="center"/>
    </xf>
    <xf numFmtId="0" fontId="19" fillId="10" borderId="26" xfId="0" applyFont="1" applyFill="1" applyBorder="1" applyAlignment="1">
      <alignment horizontal="right" vertical="center"/>
    </xf>
    <xf numFmtId="0" fontId="13" fillId="4" borderId="36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GASTOS 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2:F65">
  <autoFilter ref="A12:F65" xr:uid="{00000000-0009-0000-0100-000001000000}">
    <filterColumn colId="1">
      <customFilters>
        <customFilter operator="notEqual" val=" "/>
      </customFilters>
    </filterColumn>
  </autoFilter>
  <tableColumns count="6">
    <tableColumn id="1" xr3:uid="{00000000-0010-0000-0000-000001000000}" name="DATA"/>
    <tableColumn id="2" xr3:uid="{00000000-0010-0000-0000-000002000000}" name="MES"/>
    <tableColumn id="3" xr3:uid="{00000000-0010-0000-0000-000003000000}" name="LOCAL GASTO"/>
    <tableColumn id="4" xr3:uid="{00000000-0010-0000-0000-000004000000}" name="VALOR"/>
    <tableColumn id="5" xr3:uid="{00000000-0010-0000-0000-000005000000}" name="FONTE DE SAIDA"/>
    <tableColumn id="6" xr3:uid="{00000000-0010-0000-0000-000006000000}" name="Coluna 1"/>
  </tableColumns>
  <tableStyleInfo name="GASTOS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2"/>
  <sheetViews>
    <sheetView showGridLines="0" tabSelected="1" workbookViewId="0">
      <selection activeCell="T29" sqref="T29"/>
    </sheetView>
  </sheetViews>
  <sheetFormatPr defaultColWidth="12.5703125" defaultRowHeight="15" customHeight="1"/>
  <cols>
    <col min="1" max="1" width="22.140625" customWidth="1"/>
    <col min="2" max="2" width="18" hidden="1" customWidth="1"/>
    <col min="3" max="3" width="19.28515625" hidden="1" customWidth="1"/>
    <col min="4" max="8" width="18" hidden="1" customWidth="1"/>
    <col min="9" max="9" width="23.7109375" hidden="1" customWidth="1"/>
    <col min="10" max="14" width="18" hidden="1" customWidth="1"/>
    <col min="15" max="17" width="24.5703125" hidden="1" customWidth="1"/>
    <col min="18" max="18" width="15.85546875" hidden="1" customWidth="1"/>
    <col min="19" max="19" width="17.7109375" hidden="1" customWidth="1"/>
    <col min="20" max="20" width="21.7109375" bestFit="1" customWidth="1"/>
    <col min="21" max="21" width="17.42578125" customWidth="1"/>
    <col min="22" max="22" width="19.85546875" customWidth="1"/>
    <col min="23" max="23" width="20.85546875" customWidth="1"/>
    <col min="24" max="24" width="17.28515625" customWidth="1"/>
    <col min="25" max="26" width="18.7109375" customWidth="1"/>
    <col min="27" max="27" width="18.42578125" customWidth="1"/>
    <col min="28" max="28" width="17.85546875" customWidth="1"/>
    <col min="29" max="29" width="20.7109375" customWidth="1"/>
    <col min="30" max="30" width="19.28515625" customWidth="1"/>
    <col min="31" max="39" width="8.85546875" customWidth="1"/>
  </cols>
  <sheetData>
    <row r="1" spans="1:39" ht="36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3"/>
      <c r="AC1" s="1"/>
      <c r="AD1" s="2"/>
      <c r="AE1" s="3"/>
      <c r="AF1" s="3"/>
      <c r="AG1" s="3"/>
      <c r="AH1" s="3"/>
      <c r="AI1" s="3"/>
      <c r="AJ1" s="3"/>
      <c r="AK1" s="3"/>
      <c r="AL1" s="3"/>
      <c r="AM1" s="3"/>
    </row>
    <row r="2" spans="1:39">
      <c r="A2" s="4" t="s">
        <v>1</v>
      </c>
      <c r="B2" s="5">
        <v>45566</v>
      </c>
      <c r="C2" s="5">
        <v>45597</v>
      </c>
      <c r="D2" s="5">
        <v>45627</v>
      </c>
      <c r="E2" s="5">
        <v>45658</v>
      </c>
      <c r="F2" s="5">
        <v>45689</v>
      </c>
      <c r="G2" s="5">
        <v>45717</v>
      </c>
      <c r="H2" s="5">
        <v>45748</v>
      </c>
      <c r="I2" s="5">
        <v>45778</v>
      </c>
      <c r="J2" s="5">
        <v>45809</v>
      </c>
      <c r="K2" s="5">
        <v>45839</v>
      </c>
      <c r="L2" s="5">
        <v>45870</v>
      </c>
      <c r="M2" s="5">
        <v>45901</v>
      </c>
      <c r="N2" s="5">
        <v>45931</v>
      </c>
      <c r="O2" s="6">
        <v>45962</v>
      </c>
      <c r="P2" s="6">
        <v>45992</v>
      </c>
      <c r="Q2" s="6" t="s">
        <v>2</v>
      </c>
      <c r="R2" s="7" t="s">
        <v>3</v>
      </c>
      <c r="S2" s="7" t="s">
        <v>4</v>
      </c>
      <c r="T2" s="7" t="s">
        <v>5</v>
      </c>
      <c r="U2" s="7" t="s">
        <v>6</v>
      </c>
      <c r="V2" s="7" t="s">
        <v>7</v>
      </c>
      <c r="W2" s="7" t="s">
        <v>8</v>
      </c>
      <c r="X2" s="7" t="s">
        <v>9</v>
      </c>
      <c r="Y2" s="8" t="s">
        <v>10</v>
      </c>
      <c r="Z2" s="8" t="s">
        <v>11</v>
      </c>
      <c r="AA2" s="8" t="s">
        <v>12</v>
      </c>
      <c r="AB2" s="8" t="s">
        <v>13</v>
      </c>
      <c r="AC2" s="9"/>
      <c r="AD2" s="10"/>
      <c r="AE2" s="11"/>
      <c r="AF2" s="11"/>
      <c r="AG2" s="11"/>
      <c r="AH2" s="11"/>
      <c r="AI2" s="11"/>
      <c r="AJ2" s="11"/>
      <c r="AK2" s="11"/>
      <c r="AL2" s="11"/>
      <c r="AM2" s="11"/>
    </row>
    <row r="3" spans="1:39" ht="15.75">
      <c r="A3" s="12" t="s">
        <v>14</v>
      </c>
      <c r="B3" s="13"/>
      <c r="C3" s="13">
        <v>322.14999999999998</v>
      </c>
      <c r="D3" s="13">
        <v>306.83</v>
      </c>
      <c r="E3" s="13">
        <v>306.32</v>
      </c>
      <c r="F3" s="13">
        <v>331.76</v>
      </c>
      <c r="G3" s="13">
        <v>306.32</v>
      </c>
      <c r="H3" s="13">
        <v>306.32</v>
      </c>
      <c r="I3" s="13">
        <v>151.72999999999999</v>
      </c>
      <c r="J3" s="13">
        <v>169.75</v>
      </c>
      <c r="K3" s="13">
        <v>151.72999999999999</v>
      </c>
      <c r="L3" s="13">
        <v>151.72999999999999</v>
      </c>
      <c r="M3" s="13">
        <v>170.29</v>
      </c>
      <c r="N3" s="13">
        <v>151.72999999999999</v>
      </c>
      <c r="O3" s="13">
        <v>151.72999999999999</v>
      </c>
      <c r="P3" s="13">
        <v>151.72999999999999</v>
      </c>
      <c r="Q3" s="14">
        <v>151.72999999999999</v>
      </c>
      <c r="R3" s="15">
        <v>151.72999999999999</v>
      </c>
      <c r="S3" s="16">
        <v>151.72999999999999</v>
      </c>
      <c r="T3" s="17">
        <v>151.72999999999999</v>
      </c>
      <c r="U3" s="17">
        <v>151.72999999999999</v>
      </c>
      <c r="V3" s="17"/>
      <c r="W3" s="17"/>
      <c r="X3" s="18"/>
      <c r="Y3" s="19"/>
      <c r="Z3" s="19"/>
      <c r="AA3" s="19"/>
      <c r="AB3" s="20"/>
      <c r="AC3" s="21" t="s">
        <v>15</v>
      </c>
      <c r="AD3" s="2"/>
      <c r="AE3" s="22"/>
      <c r="AF3" s="22"/>
      <c r="AG3" s="3"/>
      <c r="AH3" s="3"/>
      <c r="AI3" s="3"/>
      <c r="AJ3" s="3"/>
      <c r="AK3" s="3"/>
      <c r="AL3" s="3"/>
      <c r="AM3" s="3"/>
    </row>
    <row r="4" spans="1:39" ht="15.75">
      <c r="A4" s="12" t="s">
        <v>16</v>
      </c>
      <c r="B4" s="13"/>
      <c r="C4" s="13"/>
      <c r="D4" s="13"/>
      <c r="E4" s="13"/>
      <c r="F4" s="13"/>
      <c r="G4" s="13"/>
      <c r="H4" s="13"/>
      <c r="I4" s="13">
        <v>227.04</v>
      </c>
      <c r="J4" s="13">
        <v>227.04</v>
      </c>
      <c r="K4" s="13">
        <v>227.04</v>
      </c>
      <c r="L4" s="13">
        <v>227.04</v>
      </c>
      <c r="M4" s="13">
        <v>258.26</v>
      </c>
      <c r="N4" s="13">
        <v>227.04</v>
      </c>
      <c r="O4" s="13">
        <v>227.04</v>
      </c>
      <c r="P4" s="13">
        <v>227.04</v>
      </c>
      <c r="Q4" s="14">
        <v>227.04</v>
      </c>
      <c r="R4" s="23">
        <v>227.04</v>
      </c>
      <c r="S4" s="24">
        <v>227.04</v>
      </c>
      <c r="T4" s="25">
        <v>227.04</v>
      </c>
      <c r="U4" s="25">
        <v>227.04</v>
      </c>
      <c r="V4" s="25">
        <v>227.04</v>
      </c>
      <c r="W4" s="25">
        <v>227.04</v>
      </c>
      <c r="X4" s="26">
        <v>227.04</v>
      </c>
      <c r="Y4" s="27">
        <v>227.04</v>
      </c>
      <c r="Z4" s="27">
        <v>227.04</v>
      </c>
      <c r="AA4" s="27"/>
      <c r="AB4" s="28"/>
      <c r="AC4" s="21" t="s">
        <v>17</v>
      </c>
      <c r="AD4" s="2"/>
      <c r="AE4" s="22"/>
      <c r="AF4" s="22"/>
      <c r="AG4" s="3"/>
      <c r="AH4" s="3"/>
      <c r="AI4" s="3"/>
      <c r="AJ4" s="3"/>
      <c r="AK4" s="3"/>
      <c r="AL4" s="3"/>
      <c r="AM4" s="3"/>
    </row>
    <row r="5" spans="1:39" ht="15.75">
      <c r="A5" s="12" t="s">
        <v>18</v>
      </c>
      <c r="B5" s="13"/>
      <c r="C5" s="13"/>
      <c r="D5" s="13">
        <v>407.36</v>
      </c>
      <c r="E5" s="13">
        <v>129.9</v>
      </c>
      <c r="F5" s="13">
        <v>129.9</v>
      </c>
      <c r="G5" s="13">
        <v>129.9</v>
      </c>
      <c r="H5" s="13">
        <v>129.9</v>
      </c>
      <c r="I5" s="13">
        <v>129.9</v>
      </c>
      <c r="J5" s="13">
        <v>132.57</v>
      </c>
      <c r="K5" s="13">
        <v>129.9</v>
      </c>
      <c r="L5" s="13">
        <v>129.9</v>
      </c>
      <c r="M5" s="13">
        <v>129.9</v>
      </c>
      <c r="N5" s="13">
        <v>129.9</v>
      </c>
      <c r="O5" s="13"/>
      <c r="P5" s="13"/>
      <c r="Q5" s="14"/>
      <c r="R5" s="23">
        <v>90</v>
      </c>
      <c r="S5" s="24">
        <v>90</v>
      </c>
      <c r="T5" s="25">
        <v>90</v>
      </c>
      <c r="U5" s="25">
        <v>90</v>
      </c>
      <c r="V5" s="25">
        <v>90</v>
      </c>
      <c r="W5" s="25">
        <v>90</v>
      </c>
      <c r="X5" s="26">
        <v>90</v>
      </c>
      <c r="Y5" s="27">
        <v>90</v>
      </c>
      <c r="Z5" s="27">
        <v>90</v>
      </c>
      <c r="AA5" s="27">
        <v>90</v>
      </c>
      <c r="AB5" s="28">
        <v>90</v>
      </c>
      <c r="AC5" s="29"/>
      <c r="AD5" s="2"/>
      <c r="AE5" s="22"/>
      <c r="AF5" s="22"/>
      <c r="AG5" s="3"/>
      <c r="AH5" s="3"/>
      <c r="AI5" s="3"/>
      <c r="AJ5" s="3"/>
      <c r="AK5" s="3"/>
      <c r="AL5" s="3"/>
      <c r="AM5" s="3"/>
    </row>
    <row r="6" spans="1:39" ht="15.75" customHeight="1">
      <c r="A6" s="12" t="s">
        <v>19</v>
      </c>
      <c r="B6" s="13"/>
      <c r="C6" s="13"/>
      <c r="D6" s="13">
        <v>113.49</v>
      </c>
      <c r="E6" s="13">
        <v>42.38</v>
      </c>
      <c r="F6" s="13">
        <v>240.25</v>
      </c>
      <c r="G6" s="13">
        <v>91.04</v>
      </c>
      <c r="H6" s="13">
        <v>154.62</v>
      </c>
      <c r="I6" s="13">
        <v>117.72</v>
      </c>
      <c r="J6" s="13">
        <v>113.6</v>
      </c>
      <c r="K6" s="13">
        <v>59.12</v>
      </c>
      <c r="L6" s="13"/>
      <c r="M6" s="13"/>
      <c r="N6" s="13">
        <v>86</v>
      </c>
      <c r="O6" s="13"/>
      <c r="P6" s="13"/>
      <c r="Q6" s="14">
        <v>98.86</v>
      </c>
      <c r="R6" s="23">
        <v>76.900000000000006</v>
      </c>
      <c r="S6" s="24">
        <v>63.98</v>
      </c>
      <c r="T6" s="25">
        <v>63.98</v>
      </c>
      <c r="U6" s="25"/>
      <c r="V6" s="25"/>
      <c r="W6" s="25"/>
      <c r="X6" s="26"/>
      <c r="Y6" s="27"/>
      <c r="Z6" s="27"/>
      <c r="AA6" s="27"/>
      <c r="AB6" s="28"/>
      <c r="AC6" s="29"/>
      <c r="AD6" s="2"/>
      <c r="AE6" s="22"/>
      <c r="AF6" s="22"/>
      <c r="AG6" s="3"/>
      <c r="AH6" s="3"/>
      <c r="AI6" s="3"/>
      <c r="AJ6" s="3"/>
      <c r="AK6" s="3"/>
      <c r="AL6" s="3"/>
      <c r="AM6" s="3"/>
    </row>
    <row r="7" spans="1:39" ht="15.75">
      <c r="A7" s="12" t="s">
        <v>20</v>
      </c>
      <c r="B7" s="13"/>
      <c r="C7" s="13"/>
      <c r="D7" s="13">
        <v>119.25</v>
      </c>
      <c r="E7" s="13">
        <v>104.22</v>
      </c>
      <c r="F7" s="13"/>
      <c r="G7" s="13">
        <v>127.45</v>
      </c>
      <c r="H7" s="13"/>
      <c r="I7" s="13">
        <v>285.83</v>
      </c>
      <c r="J7" s="13">
        <v>144.05000000000001</v>
      </c>
      <c r="K7" s="13"/>
      <c r="L7" s="13"/>
      <c r="M7" s="13"/>
      <c r="N7" s="13">
        <v>74.83</v>
      </c>
      <c r="O7" s="13"/>
      <c r="P7" s="13"/>
      <c r="Q7" s="14">
        <v>126.41</v>
      </c>
      <c r="R7" s="23">
        <v>199.49</v>
      </c>
      <c r="S7" s="24">
        <v>11</v>
      </c>
      <c r="T7" s="25">
        <v>11</v>
      </c>
      <c r="U7" s="25"/>
      <c r="V7" s="25"/>
      <c r="W7" s="25"/>
      <c r="X7" s="26"/>
      <c r="Y7" s="27"/>
      <c r="Z7" s="27"/>
      <c r="AA7" s="27"/>
      <c r="AB7" s="28"/>
      <c r="AC7" s="29"/>
      <c r="AD7" s="2"/>
      <c r="AE7" s="22"/>
      <c r="AF7" s="22"/>
      <c r="AG7" s="3"/>
      <c r="AH7" s="3"/>
      <c r="AI7" s="3"/>
      <c r="AJ7" s="3"/>
      <c r="AK7" s="3"/>
      <c r="AL7" s="3"/>
      <c r="AM7" s="3"/>
    </row>
    <row r="8" spans="1:39" ht="15.75">
      <c r="A8" s="12" t="s">
        <v>21</v>
      </c>
      <c r="B8" s="13"/>
      <c r="C8" s="13"/>
      <c r="D8" s="13"/>
      <c r="E8" s="13">
        <v>407.15</v>
      </c>
      <c r="F8" s="13">
        <v>407.15</v>
      </c>
      <c r="G8" s="13">
        <v>407.15</v>
      </c>
      <c r="H8" s="13">
        <v>407.15</v>
      </c>
      <c r="I8" s="13">
        <v>407.15</v>
      </c>
      <c r="J8" s="13">
        <v>407.15</v>
      </c>
      <c r="K8" s="13">
        <v>437.12</v>
      </c>
      <c r="L8" s="13">
        <v>407.15</v>
      </c>
      <c r="M8" s="13">
        <v>407.15</v>
      </c>
      <c r="N8" s="13">
        <v>436.99</v>
      </c>
      <c r="O8" s="30">
        <v>436.99</v>
      </c>
      <c r="P8" s="13">
        <v>436.99</v>
      </c>
      <c r="Q8" s="14">
        <v>436.99</v>
      </c>
      <c r="R8" s="23">
        <v>407.15</v>
      </c>
      <c r="S8" s="24">
        <v>407.15</v>
      </c>
      <c r="T8" s="25">
        <v>407.15</v>
      </c>
      <c r="U8" s="25"/>
      <c r="V8" s="25"/>
      <c r="W8" s="25"/>
      <c r="X8" s="26"/>
      <c r="Y8" s="27"/>
      <c r="Z8" s="27"/>
      <c r="AA8" s="27"/>
      <c r="AB8" s="28"/>
      <c r="AC8" s="21" t="s">
        <v>22</v>
      </c>
      <c r="AD8" s="2"/>
      <c r="AE8" s="22"/>
      <c r="AF8" s="22"/>
      <c r="AG8" s="22"/>
      <c r="AH8" s="22"/>
      <c r="AI8" s="22"/>
      <c r="AJ8" s="22"/>
      <c r="AK8" s="22"/>
      <c r="AL8" s="22"/>
      <c r="AM8" s="22"/>
    </row>
    <row r="9" spans="1:39" ht="15.75">
      <c r="A9" s="12" t="s">
        <v>23</v>
      </c>
      <c r="B9" s="13"/>
      <c r="C9" s="13"/>
      <c r="D9" s="13"/>
      <c r="E9" s="13"/>
      <c r="F9" s="13"/>
      <c r="G9" s="13"/>
      <c r="H9" s="13"/>
      <c r="I9" s="13">
        <v>268.31</v>
      </c>
      <c r="J9" s="13">
        <v>268.31</v>
      </c>
      <c r="K9" s="13"/>
      <c r="L9" s="13"/>
      <c r="M9" s="13"/>
      <c r="N9" s="13"/>
      <c r="O9" s="13"/>
      <c r="P9" s="13"/>
      <c r="Q9" s="14"/>
      <c r="R9" s="23"/>
      <c r="S9" s="24"/>
      <c r="T9" s="25"/>
      <c r="U9" s="25"/>
      <c r="V9" s="25"/>
      <c r="W9" s="25"/>
      <c r="X9" s="26"/>
      <c r="Y9" s="27"/>
      <c r="Z9" s="27"/>
      <c r="AA9" s="27"/>
      <c r="AB9" s="28"/>
      <c r="AC9" s="29"/>
      <c r="AD9" s="2"/>
      <c r="AE9" s="22"/>
      <c r="AF9" s="22"/>
      <c r="AG9" s="3"/>
      <c r="AH9" s="3"/>
      <c r="AI9" s="3"/>
      <c r="AJ9" s="3"/>
      <c r="AK9" s="3"/>
      <c r="AL9" s="3"/>
      <c r="AM9" s="3"/>
    </row>
    <row r="10" spans="1:39" ht="15.75">
      <c r="A10" s="12" t="s">
        <v>24</v>
      </c>
      <c r="B10" s="13"/>
      <c r="C10" s="13"/>
      <c r="D10" s="13"/>
      <c r="E10" s="13">
        <v>100</v>
      </c>
      <c r="F10" s="13">
        <v>140</v>
      </c>
      <c r="G10" s="13"/>
      <c r="H10" s="13"/>
      <c r="I10" s="13"/>
      <c r="J10" s="13">
        <v>79</v>
      </c>
      <c r="K10" s="13">
        <v>95</v>
      </c>
      <c r="L10" s="13">
        <v>95</v>
      </c>
      <c r="M10" s="13">
        <v>95</v>
      </c>
      <c r="N10" s="13">
        <v>100</v>
      </c>
      <c r="O10" s="13">
        <v>100</v>
      </c>
      <c r="P10" s="13">
        <v>100</v>
      </c>
      <c r="Q10" s="14">
        <v>200</v>
      </c>
      <c r="R10" s="23">
        <v>100</v>
      </c>
      <c r="S10" s="24">
        <v>100</v>
      </c>
      <c r="T10" s="25">
        <v>100</v>
      </c>
      <c r="U10" s="25">
        <v>100</v>
      </c>
      <c r="V10" s="25">
        <v>100</v>
      </c>
      <c r="W10" s="25">
        <v>100</v>
      </c>
      <c r="X10" s="26">
        <v>115</v>
      </c>
      <c r="Y10" s="27"/>
      <c r="Z10" s="27"/>
      <c r="AA10" s="27"/>
      <c r="AB10" s="28"/>
      <c r="AC10" s="21" t="s">
        <v>25</v>
      </c>
      <c r="AD10" s="31"/>
      <c r="AE10" s="22"/>
      <c r="AF10" s="22"/>
      <c r="AG10" s="3"/>
      <c r="AH10" s="3"/>
      <c r="AI10" s="3"/>
      <c r="AJ10" s="3"/>
      <c r="AK10" s="3"/>
      <c r="AL10" s="3"/>
      <c r="AM10" s="3"/>
    </row>
    <row r="11" spans="1:39" ht="15.75">
      <c r="A11" s="32" t="s">
        <v>26</v>
      </c>
      <c r="B11" s="13"/>
      <c r="C11" s="13">
        <v>27</v>
      </c>
      <c r="D11" s="13"/>
      <c r="E11" s="13">
        <v>28.9</v>
      </c>
      <c r="F11" s="13">
        <v>28.9</v>
      </c>
      <c r="G11" s="13">
        <v>28.9</v>
      </c>
      <c r="H11" s="13">
        <v>28.9</v>
      </c>
      <c r="I11" s="13">
        <v>28.9</v>
      </c>
      <c r="J11" s="13">
        <v>28.9</v>
      </c>
      <c r="K11" s="13">
        <v>28.9</v>
      </c>
      <c r="L11" s="13">
        <v>28.9</v>
      </c>
      <c r="M11" s="13">
        <v>28.9</v>
      </c>
      <c r="N11" s="13">
        <v>28.9</v>
      </c>
      <c r="O11" s="13">
        <v>28.9</v>
      </c>
      <c r="P11" s="13">
        <v>28.9</v>
      </c>
      <c r="Q11" s="14">
        <v>28.9</v>
      </c>
      <c r="R11" s="23">
        <v>28.9</v>
      </c>
      <c r="S11" s="24">
        <v>28.9</v>
      </c>
      <c r="T11" s="25">
        <v>28.9</v>
      </c>
      <c r="U11" s="25">
        <v>28.9</v>
      </c>
      <c r="V11" s="25">
        <v>28.9</v>
      </c>
      <c r="W11" s="25">
        <v>28.9</v>
      </c>
      <c r="X11" s="26">
        <v>28.9</v>
      </c>
      <c r="Y11" s="27">
        <v>28.9</v>
      </c>
      <c r="Z11" s="27">
        <v>28.9</v>
      </c>
      <c r="AA11" s="27">
        <v>28.9</v>
      </c>
      <c r="AB11" s="28">
        <v>28.9</v>
      </c>
      <c r="AC11" s="29"/>
      <c r="AD11" s="2"/>
      <c r="AE11" s="22"/>
      <c r="AF11" s="22"/>
      <c r="AG11" s="3"/>
      <c r="AH11" s="3"/>
      <c r="AI11" s="3"/>
      <c r="AJ11" s="3"/>
      <c r="AK11" s="3"/>
      <c r="AL11" s="3"/>
      <c r="AM11" s="3"/>
    </row>
    <row r="12" spans="1:39" ht="15.75">
      <c r="A12" s="12" t="s">
        <v>27</v>
      </c>
      <c r="B12" s="13">
        <v>728.49</v>
      </c>
      <c r="C12" s="13">
        <v>728.49</v>
      </c>
      <c r="D12" s="13">
        <v>728.49</v>
      </c>
      <c r="E12" s="13">
        <v>728.49</v>
      </c>
      <c r="F12" s="13">
        <v>728.49</v>
      </c>
      <c r="G12" s="13">
        <v>728.49</v>
      </c>
      <c r="H12" s="13">
        <v>728.49</v>
      </c>
      <c r="I12" s="13">
        <v>528.49</v>
      </c>
      <c r="J12" s="13">
        <v>528.49</v>
      </c>
      <c r="K12" s="13">
        <v>728.49</v>
      </c>
      <c r="L12" s="13">
        <v>728.49</v>
      </c>
      <c r="M12" s="13">
        <v>728.49</v>
      </c>
      <c r="N12" s="33">
        <v>728.49</v>
      </c>
      <c r="O12" s="13">
        <v>728.49</v>
      </c>
      <c r="P12" s="13">
        <v>360</v>
      </c>
      <c r="Q12" s="14">
        <v>360</v>
      </c>
      <c r="R12" s="23">
        <v>360</v>
      </c>
      <c r="S12" s="24">
        <v>360</v>
      </c>
      <c r="T12" s="25">
        <v>360</v>
      </c>
      <c r="U12" s="25">
        <v>360</v>
      </c>
      <c r="V12" s="25">
        <v>360</v>
      </c>
      <c r="W12" s="25">
        <v>360</v>
      </c>
      <c r="X12" s="26">
        <v>360</v>
      </c>
      <c r="Y12" s="27">
        <v>360</v>
      </c>
      <c r="Z12" s="27">
        <v>360</v>
      </c>
      <c r="AA12" s="27">
        <v>360</v>
      </c>
      <c r="AB12" s="28">
        <v>360</v>
      </c>
      <c r="AC12" s="21" t="s">
        <v>28</v>
      </c>
      <c r="AD12" s="2"/>
      <c r="AE12" s="22"/>
      <c r="AF12" s="22"/>
      <c r="AG12" s="3"/>
      <c r="AH12" s="3"/>
      <c r="AI12" s="3"/>
      <c r="AJ12" s="3"/>
      <c r="AK12" s="3"/>
      <c r="AL12" s="3"/>
      <c r="AM12" s="3"/>
    </row>
    <row r="13" spans="1:39" ht="15.75">
      <c r="A13" s="12" t="s">
        <v>27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33"/>
      <c r="O13" s="13"/>
      <c r="P13" s="13"/>
      <c r="Q13" s="14"/>
      <c r="R13" s="23"/>
      <c r="S13" s="24">
        <v>200</v>
      </c>
      <c r="T13" s="25">
        <v>200</v>
      </c>
      <c r="U13" s="25">
        <v>200</v>
      </c>
      <c r="V13" s="25">
        <v>200</v>
      </c>
      <c r="W13" s="25">
        <v>200</v>
      </c>
      <c r="X13" s="26">
        <v>200</v>
      </c>
      <c r="Y13" s="27">
        <v>200</v>
      </c>
      <c r="Z13" s="27">
        <v>200</v>
      </c>
      <c r="AA13" s="27">
        <v>200</v>
      </c>
      <c r="AB13" s="28">
        <v>200</v>
      </c>
      <c r="AC13" s="21" t="s">
        <v>29</v>
      </c>
      <c r="AD13" s="2"/>
      <c r="AE13" s="22"/>
      <c r="AF13" s="22"/>
      <c r="AG13" s="3"/>
      <c r="AH13" s="3"/>
      <c r="AI13" s="3"/>
      <c r="AJ13" s="3"/>
      <c r="AK13" s="3"/>
      <c r="AL13" s="3"/>
      <c r="AM13" s="3"/>
    </row>
    <row r="14" spans="1:39" ht="15.75">
      <c r="A14" s="12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33"/>
      <c r="O14" s="13"/>
      <c r="P14" s="13"/>
      <c r="Q14" s="14"/>
      <c r="R14" s="23"/>
      <c r="S14" s="24">
        <v>87.53</v>
      </c>
      <c r="T14" s="25">
        <v>89.82</v>
      </c>
      <c r="U14" s="25">
        <v>89.82</v>
      </c>
      <c r="V14" s="25">
        <v>89.82</v>
      </c>
      <c r="W14" s="25">
        <v>89.82</v>
      </c>
      <c r="X14" s="26">
        <v>89.82</v>
      </c>
      <c r="Y14" s="27">
        <v>89.82</v>
      </c>
      <c r="Z14" s="27">
        <v>89.82</v>
      </c>
      <c r="AA14" s="27">
        <v>89.82</v>
      </c>
      <c r="AB14" s="28">
        <v>89.82</v>
      </c>
      <c r="AC14" s="21" t="s">
        <v>31</v>
      </c>
      <c r="AD14" s="2"/>
      <c r="AE14" s="22"/>
      <c r="AF14" s="22"/>
      <c r="AG14" s="3"/>
      <c r="AH14" s="3"/>
      <c r="AI14" s="3"/>
      <c r="AJ14" s="3"/>
      <c r="AK14" s="3"/>
      <c r="AL14" s="3"/>
      <c r="AM14" s="3"/>
    </row>
    <row r="15" spans="1:39" ht="15.75">
      <c r="A15" s="12" t="s">
        <v>32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33"/>
      <c r="O15" s="13"/>
      <c r="P15" s="13"/>
      <c r="Q15" s="14"/>
      <c r="R15" s="23"/>
      <c r="S15" s="24">
        <v>140</v>
      </c>
      <c r="T15" s="25"/>
      <c r="U15" s="25"/>
      <c r="V15" s="25"/>
      <c r="W15" s="25"/>
      <c r="X15" s="26"/>
      <c r="Y15" s="27"/>
      <c r="Z15" s="27"/>
      <c r="AA15" s="27"/>
      <c r="AB15" s="28"/>
      <c r="AC15" s="21" t="s">
        <v>33</v>
      </c>
      <c r="AD15" s="2"/>
      <c r="AE15" s="22"/>
      <c r="AF15" s="22"/>
      <c r="AG15" s="3"/>
      <c r="AH15" s="3"/>
      <c r="AI15" s="3"/>
      <c r="AJ15" s="3"/>
      <c r="AK15" s="3"/>
      <c r="AL15" s="3"/>
      <c r="AM15" s="3"/>
    </row>
    <row r="16" spans="1:39" ht="15.75">
      <c r="A16" s="12" t="s">
        <v>34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33"/>
      <c r="O16" s="13"/>
      <c r="P16" s="13">
        <v>150</v>
      </c>
      <c r="Q16" s="14">
        <v>150</v>
      </c>
      <c r="R16" s="23">
        <v>150</v>
      </c>
      <c r="S16" s="24">
        <v>108.42</v>
      </c>
      <c r="T16" s="25"/>
      <c r="U16" s="25"/>
      <c r="V16" s="25"/>
      <c r="W16" s="25"/>
      <c r="X16" s="26"/>
      <c r="Y16" s="27"/>
      <c r="Z16" s="27"/>
      <c r="AA16" s="27"/>
      <c r="AB16" s="28"/>
      <c r="AC16" s="21" t="s">
        <v>35</v>
      </c>
      <c r="AD16" s="2"/>
      <c r="AE16" s="22"/>
      <c r="AF16" s="22"/>
      <c r="AG16" s="3"/>
      <c r="AH16" s="3"/>
      <c r="AI16" s="3"/>
      <c r="AJ16" s="3"/>
      <c r="AK16" s="3"/>
      <c r="AL16" s="3"/>
      <c r="AM16" s="3"/>
    </row>
    <row r="17" spans="1:39" ht="15.75">
      <c r="A17" s="12" t="s">
        <v>36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33"/>
      <c r="O17" s="13"/>
      <c r="P17" s="13">
        <v>250</v>
      </c>
      <c r="Q17" s="14">
        <v>250</v>
      </c>
      <c r="R17" s="23">
        <v>250</v>
      </c>
      <c r="S17" s="24">
        <v>250</v>
      </c>
      <c r="T17" s="25">
        <v>250</v>
      </c>
      <c r="U17" s="25">
        <v>250</v>
      </c>
      <c r="V17" s="25">
        <v>250</v>
      </c>
      <c r="W17" s="25">
        <v>250</v>
      </c>
      <c r="X17" s="26">
        <v>250</v>
      </c>
      <c r="Y17" s="27"/>
      <c r="Z17" s="27"/>
      <c r="AA17" s="27"/>
      <c r="AB17" s="28"/>
      <c r="AC17" s="21" t="s">
        <v>37</v>
      </c>
      <c r="AD17" s="2"/>
      <c r="AE17" s="22"/>
      <c r="AF17" s="22"/>
      <c r="AG17" s="3"/>
      <c r="AH17" s="3"/>
      <c r="AI17" s="3"/>
      <c r="AJ17" s="3"/>
      <c r="AK17" s="3"/>
      <c r="AL17" s="3"/>
      <c r="AM17" s="3"/>
    </row>
    <row r="18" spans="1:39" ht="15.75">
      <c r="A18" s="12" t="s">
        <v>38</v>
      </c>
      <c r="B18" s="13"/>
      <c r="C18" s="13">
        <v>64.989999999999995</v>
      </c>
      <c r="D18" s="13"/>
      <c r="E18" s="13">
        <v>66.12</v>
      </c>
      <c r="F18" s="13">
        <v>55</v>
      </c>
      <c r="G18" s="13">
        <v>55</v>
      </c>
      <c r="H18" s="13">
        <v>55</v>
      </c>
      <c r="I18" s="13">
        <v>55</v>
      </c>
      <c r="J18" s="13">
        <v>55</v>
      </c>
      <c r="K18" s="13">
        <v>55</v>
      </c>
      <c r="L18" s="13">
        <v>55</v>
      </c>
      <c r="M18" s="13">
        <v>55</v>
      </c>
      <c r="N18" s="13">
        <v>55</v>
      </c>
      <c r="O18" s="13">
        <v>55</v>
      </c>
      <c r="P18" s="13">
        <v>64</v>
      </c>
      <c r="Q18" s="14">
        <v>64</v>
      </c>
      <c r="R18" s="23">
        <v>85</v>
      </c>
      <c r="S18" s="24">
        <v>64</v>
      </c>
      <c r="T18" s="25">
        <v>64</v>
      </c>
      <c r="U18" s="25">
        <v>64</v>
      </c>
      <c r="V18" s="25">
        <v>64</v>
      </c>
      <c r="W18" s="25">
        <v>64</v>
      </c>
      <c r="X18" s="26">
        <v>64</v>
      </c>
      <c r="Y18" s="27">
        <v>64</v>
      </c>
      <c r="Z18" s="27">
        <v>64</v>
      </c>
      <c r="AA18" s="27">
        <v>64</v>
      </c>
      <c r="AB18" s="28">
        <v>64</v>
      </c>
      <c r="AC18" s="29"/>
      <c r="AD18" s="2"/>
      <c r="AE18" s="22"/>
      <c r="AF18" s="22"/>
      <c r="AG18" s="3"/>
      <c r="AH18" s="3"/>
      <c r="AI18" s="3"/>
      <c r="AJ18" s="3"/>
      <c r="AK18" s="3"/>
      <c r="AL18" s="3"/>
      <c r="AM18" s="3"/>
    </row>
    <row r="19" spans="1:39" ht="15.75">
      <c r="A19" s="12" t="s">
        <v>39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23"/>
      <c r="S19" s="24"/>
      <c r="T19" s="25">
        <v>80</v>
      </c>
      <c r="U19" s="25">
        <v>80</v>
      </c>
      <c r="V19" s="25">
        <v>80</v>
      </c>
      <c r="W19" s="25">
        <v>80</v>
      </c>
      <c r="X19" s="26">
        <v>80</v>
      </c>
      <c r="Y19" s="27">
        <v>80</v>
      </c>
      <c r="Z19" s="27">
        <v>80</v>
      </c>
      <c r="AA19" s="27">
        <v>80</v>
      </c>
      <c r="AB19" s="28">
        <v>80</v>
      </c>
      <c r="AC19" s="29"/>
      <c r="AD19" s="2"/>
      <c r="AE19" s="22"/>
      <c r="AF19" s="22"/>
      <c r="AG19" s="3"/>
      <c r="AH19" s="3"/>
      <c r="AI19" s="3"/>
      <c r="AJ19" s="3"/>
      <c r="AK19" s="3"/>
      <c r="AL19" s="3"/>
      <c r="AM19" s="3"/>
    </row>
    <row r="20" spans="1:39" ht="15.75">
      <c r="A20" s="12" t="s">
        <v>40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>
        <v>300</v>
      </c>
      <c r="O20" s="33">
        <v>240</v>
      </c>
      <c r="P20" s="13">
        <v>300</v>
      </c>
      <c r="Q20" s="14">
        <v>240</v>
      </c>
      <c r="R20" s="23">
        <v>240</v>
      </c>
      <c r="S20" s="24">
        <v>240</v>
      </c>
      <c r="T20" s="25">
        <v>300</v>
      </c>
      <c r="U20" s="25">
        <v>300</v>
      </c>
      <c r="V20" s="25">
        <v>300</v>
      </c>
      <c r="W20" s="25">
        <v>300</v>
      </c>
      <c r="X20" s="26">
        <v>300</v>
      </c>
      <c r="Y20" s="27">
        <v>300</v>
      </c>
      <c r="Z20" s="27">
        <v>300</v>
      </c>
      <c r="AA20" s="27">
        <v>300</v>
      </c>
      <c r="AB20" s="28">
        <v>300</v>
      </c>
      <c r="AC20" s="29"/>
      <c r="AD20" s="2"/>
      <c r="AE20" s="22"/>
      <c r="AF20" s="22"/>
      <c r="AG20" s="3"/>
      <c r="AH20" s="3"/>
      <c r="AI20" s="3"/>
      <c r="AJ20" s="3"/>
      <c r="AK20" s="3"/>
      <c r="AL20" s="3"/>
      <c r="AM20" s="3"/>
    </row>
    <row r="21" spans="1:39" ht="15.75" customHeight="1">
      <c r="A21" s="32" t="s">
        <v>41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33"/>
      <c r="P21" s="13"/>
      <c r="Q21" s="14"/>
      <c r="R21" s="23"/>
      <c r="S21" s="24">
        <v>40</v>
      </c>
      <c r="T21" s="25">
        <v>40</v>
      </c>
      <c r="U21" s="25">
        <v>40</v>
      </c>
      <c r="V21" s="25">
        <v>40</v>
      </c>
      <c r="W21" s="25">
        <v>40</v>
      </c>
      <c r="X21" s="25">
        <v>40</v>
      </c>
      <c r="Y21" s="25">
        <v>40</v>
      </c>
      <c r="Z21" s="25">
        <v>40</v>
      </c>
      <c r="AA21" s="25">
        <v>40</v>
      </c>
      <c r="AB21" s="34">
        <v>40</v>
      </c>
      <c r="AC21" s="21"/>
      <c r="AD21" s="2"/>
      <c r="AE21" s="22"/>
      <c r="AF21" s="22"/>
      <c r="AG21" s="3"/>
      <c r="AH21" s="3"/>
      <c r="AI21" s="3"/>
      <c r="AJ21" s="3"/>
      <c r="AK21" s="3"/>
      <c r="AL21" s="3"/>
      <c r="AM21" s="3"/>
    </row>
    <row r="22" spans="1:39" ht="15.75" customHeight="1">
      <c r="A22" s="12" t="s">
        <v>42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3"/>
      <c r="P22" s="13"/>
      <c r="Q22" s="14"/>
      <c r="R22" s="23"/>
      <c r="S22" s="24"/>
      <c r="T22" s="25">
        <v>300</v>
      </c>
      <c r="U22" s="25"/>
      <c r="V22" s="25"/>
      <c r="W22" s="25"/>
      <c r="X22" s="26"/>
      <c r="Y22" s="27"/>
      <c r="Z22" s="27"/>
      <c r="AA22" s="27"/>
      <c r="AB22" s="28"/>
      <c r="AC22" s="29"/>
      <c r="AD22" s="2"/>
      <c r="AE22" s="22"/>
      <c r="AF22" s="22"/>
      <c r="AG22" s="3"/>
      <c r="AH22" s="3"/>
      <c r="AI22" s="3"/>
      <c r="AJ22" s="3"/>
      <c r="AK22" s="3"/>
      <c r="AL22" s="3"/>
      <c r="AM22" s="3"/>
    </row>
    <row r="23" spans="1:39" ht="15.75" customHeight="1">
      <c r="A23" s="32" t="s">
        <v>43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33"/>
      <c r="P23" s="13"/>
      <c r="Q23" s="14"/>
      <c r="R23" s="23"/>
      <c r="S23" s="24"/>
      <c r="T23" s="25">
        <v>89.99</v>
      </c>
      <c r="U23" s="25">
        <v>89.99</v>
      </c>
      <c r="V23" s="25"/>
      <c r="W23" s="25"/>
      <c r="X23" s="26"/>
      <c r="Y23" s="27"/>
      <c r="Z23" s="27"/>
      <c r="AA23" s="27"/>
      <c r="AB23" s="28"/>
      <c r="AC23" s="21" t="s">
        <v>44</v>
      </c>
      <c r="AD23" s="2"/>
      <c r="AE23" s="22"/>
      <c r="AF23" s="22"/>
      <c r="AG23" s="3"/>
      <c r="AH23" s="3"/>
      <c r="AI23" s="3"/>
      <c r="AJ23" s="3"/>
      <c r="AK23" s="3"/>
      <c r="AL23" s="3"/>
      <c r="AM23" s="3"/>
    </row>
    <row r="24" spans="1:39" ht="15.75" customHeight="1">
      <c r="A24" s="35" t="s">
        <v>45</v>
      </c>
      <c r="B24" s="3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33"/>
      <c r="P24" s="13"/>
      <c r="Q24" s="14"/>
      <c r="R24" s="37"/>
      <c r="S24" s="38"/>
      <c r="T24" s="25">
        <v>30</v>
      </c>
      <c r="U24" s="25">
        <v>60</v>
      </c>
      <c r="V24" s="25">
        <v>60</v>
      </c>
      <c r="W24" s="25">
        <v>60</v>
      </c>
      <c r="X24" s="25">
        <v>60</v>
      </c>
      <c r="Y24" s="25">
        <v>60</v>
      </c>
      <c r="Z24" s="25">
        <v>60</v>
      </c>
      <c r="AA24" s="25">
        <v>60</v>
      </c>
      <c r="AB24" s="34">
        <v>60</v>
      </c>
      <c r="AC24" s="21"/>
      <c r="AD24" s="2"/>
      <c r="AE24" s="22"/>
      <c r="AF24" s="22"/>
      <c r="AG24" s="3"/>
      <c r="AH24" s="3"/>
      <c r="AI24" s="3"/>
      <c r="AJ24" s="3"/>
      <c r="AK24" s="3"/>
      <c r="AL24" s="3"/>
      <c r="AM24" s="3"/>
    </row>
    <row r="25" spans="1:39" ht="15.75" customHeight="1">
      <c r="A25" s="39" t="s">
        <v>46</v>
      </c>
      <c r="B25" s="36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33"/>
      <c r="P25" s="13"/>
      <c r="Q25" s="14"/>
      <c r="R25" s="40"/>
      <c r="S25" s="40"/>
      <c r="T25" s="41">
        <v>161.38999999999999</v>
      </c>
      <c r="U25" s="42">
        <v>161.38999999999999</v>
      </c>
      <c r="V25" s="42">
        <v>161.38999999999999</v>
      </c>
      <c r="W25" s="42">
        <v>161.38999999999999</v>
      </c>
      <c r="X25" s="42">
        <v>161.38999999999999</v>
      </c>
      <c r="Y25" s="42">
        <v>161.38999999999999</v>
      </c>
      <c r="Z25" s="42">
        <v>161.38999999999999</v>
      </c>
      <c r="AA25" s="42">
        <v>161.38999999999999</v>
      </c>
      <c r="AB25" s="43"/>
      <c r="AC25" s="21" t="s">
        <v>47</v>
      </c>
      <c r="AD25" s="2"/>
      <c r="AE25" s="22"/>
      <c r="AF25" s="22"/>
      <c r="AG25" s="3"/>
      <c r="AH25" s="3"/>
      <c r="AI25" s="3"/>
      <c r="AJ25" s="3"/>
      <c r="AK25" s="3"/>
      <c r="AL25" s="3"/>
      <c r="AM25" s="3"/>
    </row>
    <row r="26" spans="1:39" ht="15.75" customHeight="1">
      <c r="A26" s="44" t="s">
        <v>48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6"/>
      <c r="P26" s="45"/>
      <c r="Q26" s="45"/>
      <c r="R26" s="40"/>
      <c r="S26" s="40"/>
      <c r="T26" s="27">
        <v>30</v>
      </c>
      <c r="U26" s="27">
        <v>30</v>
      </c>
      <c r="V26" s="27">
        <v>30</v>
      </c>
      <c r="W26" s="27">
        <v>30</v>
      </c>
      <c r="X26" s="27">
        <v>30</v>
      </c>
      <c r="Y26" s="27">
        <v>30</v>
      </c>
      <c r="Z26" s="27">
        <v>30</v>
      </c>
      <c r="AA26" s="27">
        <v>30</v>
      </c>
      <c r="AB26" s="28">
        <v>30</v>
      </c>
      <c r="AC26" s="27"/>
      <c r="AD26" s="2"/>
      <c r="AE26" s="22"/>
      <c r="AF26" s="22"/>
      <c r="AG26" s="3"/>
      <c r="AH26" s="3"/>
      <c r="AI26" s="3"/>
      <c r="AJ26" s="3"/>
      <c r="AK26" s="3"/>
      <c r="AL26" s="3"/>
      <c r="AM26" s="3"/>
    </row>
    <row r="27" spans="1:39" ht="15.75" customHeight="1">
      <c r="A27" s="44" t="s">
        <v>49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6"/>
      <c r="P27" s="45"/>
      <c r="Q27" s="45"/>
      <c r="R27" s="40"/>
      <c r="S27" s="40"/>
      <c r="T27" s="27">
        <v>170</v>
      </c>
      <c r="U27" s="27">
        <v>170</v>
      </c>
      <c r="V27" s="27">
        <v>170</v>
      </c>
      <c r="W27" s="27">
        <v>170</v>
      </c>
      <c r="X27" s="27">
        <v>170</v>
      </c>
      <c r="Y27" s="27">
        <v>170</v>
      </c>
      <c r="Z27" s="27">
        <v>170</v>
      </c>
      <c r="AA27" s="27">
        <v>170</v>
      </c>
      <c r="AB27" s="28">
        <v>170</v>
      </c>
      <c r="AC27" s="21"/>
      <c r="AD27" s="2"/>
      <c r="AE27" s="22"/>
      <c r="AF27" s="22"/>
      <c r="AG27" s="3"/>
      <c r="AH27" s="3"/>
      <c r="AI27" s="3"/>
      <c r="AJ27" s="3"/>
      <c r="AK27" s="3"/>
      <c r="AL27" s="3"/>
      <c r="AM27" s="3"/>
    </row>
    <row r="28" spans="1:39" ht="15.75" customHeight="1">
      <c r="A28" s="44" t="s">
        <v>50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45"/>
      <c r="Q28" s="45"/>
      <c r="R28" s="40"/>
      <c r="S28" s="40"/>
      <c r="T28" s="27">
        <v>550</v>
      </c>
      <c r="U28" s="27">
        <v>500</v>
      </c>
      <c r="V28" s="27"/>
      <c r="W28" s="27"/>
      <c r="X28" s="27"/>
      <c r="Y28" s="27"/>
      <c r="Z28" s="27"/>
      <c r="AA28" s="27"/>
      <c r="AB28" s="28"/>
      <c r="AC28" s="21"/>
      <c r="AD28" s="2"/>
      <c r="AE28" s="22"/>
      <c r="AF28" s="22"/>
      <c r="AG28" s="3"/>
      <c r="AH28" s="3"/>
      <c r="AI28" s="3"/>
      <c r="AJ28" s="3"/>
      <c r="AK28" s="3"/>
      <c r="AL28" s="3"/>
      <c r="AM28" s="3"/>
    </row>
    <row r="29" spans="1:39" ht="15.75" customHeight="1">
      <c r="A29" s="128" t="s">
        <v>107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  <c r="P29" s="45"/>
      <c r="Q29" s="45"/>
      <c r="R29" s="40"/>
      <c r="S29" s="40"/>
      <c r="T29" s="27">
        <v>10000</v>
      </c>
      <c r="U29" s="27"/>
      <c r="V29" s="27"/>
      <c r="W29" s="27"/>
      <c r="X29" s="27"/>
      <c r="Y29" s="27"/>
      <c r="Z29" s="27"/>
      <c r="AA29" s="27"/>
      <c r="AB29" s="34"/>
      <c r="AC29" s="21"/>
      <c r="AD29" s="2"/>
      <c r="AE29" s="22"/>
      <c r="AF29" s="22"/>
      <c r="AG29" s="3"/>
      <c r="AH29" s="3"/>
      <c r="AI29" s="3"/>
      <c r="AJ29" s="3"/>
      <c r="AK29" s="3"/>
      <c r="AL29" s="3"/>
      <c r="AM29" s="3"/>
    </row>
    <row r="30" spans="1:39" ht="21" customHeight="1">
      <c r="A30" s="47" t="s">
        <v>51</v>
      </c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50">
        <f>SUM(R3:R25)</f>
        <v>2366.21</v>
      </c>
      <c r="S30" s="50">
        <f>SUM(S3:S22)</f>
        <v>2569.75</v>
      </c>
      <c r="T30" s="50">
        <f>SUM(T3:T29)</f>
        <v>13795</v>
      </c>
      <c r="U30" s="50">
        <f t="shared" ref="T30:AB30" si="0">SUM(U3:U28)</f>
        <v>2992.87</v>
      </c>
      <c r="V30" s="50">
        <f t="shared" si="0"/>
        <v>2251.15</v>
      </c>
      <c r="W30" s="50">
        <f t="shared" si="0"/>
        <v>2251.15</v>
      </c>
      <c r="X30" s="50">
        <f t="shared" si="0"/>
        <v>2266.15</v>
      </c>
      <c r="Y30" s="50">
        <f t="shared" si="0"/>
        <v>1901.15</v>
      </c>
      <c r="Z30" s="50">
        <f t="shared" si="0"/>
        <v>1901.15</v>
      </c>
      <c r="AA30" s="50">
        <f t="shared" si="0"/>
        <v>1674.1100000000001</v>
      </c>
      <c r="AB30" s="50">
        <f t="shared" si="0"/>
        <v>1512.72</v>
      </c>
      <c r="AC30" s="51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15.75" customHeight="1">
      <c r="A31" s="3"/>
      <c r="B31" s="3"/>
      <c r="C31" s="52"/>
      <c r="D31" s="13"/>
      <c r="E31" s="52"/>
      <c r="F31" s="13"/>
      <c r="G31" s="52"/>
      <c r="H31" s="3"/>
      <c r="I31" s="3"/>
      <c r="J31" s="3"/>
      <c r="K31" s="3"/>
      <c r="L31" s="3"/>
      <c r="M31" s="3"/>
      <c r="N31" s="3"/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5"/>
      <c r="Z31" s="55"/>
      <c r="AA31" s="55"/>
      <c r="AB31" s="55"/>
      <c r="AC31" s="56"/>
      <c r="AD31" s="54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15.75" customHeight="1">
      <c r="A32" s="3"/>
      <c r="B32" s="3"/>
      <c r="C32" s="52"/>
      <c r="D32" s="13"/>
      <c r="E32" s="52"/>
      <c r="F32" s="13"/>
      <c r="G32" s="52"/>
      <c r="H32" s="3"/>
      <c r="I32" s="3"/>
      <c r="J32" s="3"/>
      <c r="K32" s="57"/>
      <c r="L32" s="3"/>
      <c r="M32" s="3"/>
      <c r="N32" s="3"/>
      <c r="O32" s="5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15.75" customHeight="1">
      <c r="A33" s="3"/>
      <c r="B33" s="3"/>
      <c r="C33" s="52"/>
      <c r="D33" s="13"/>
      <c r="E33" s="52"/>
      <c r="F33" s="13"/>
      <c r="G33" s="52"/>
      <c r="H33" s="3"/>
      <c r="I33" s="3"/>
      <c r="J33" s="3"/>
      <c r="K33" s="3"/>
      <c r="L33" s="58"/>
      <c r="M33" s="3"/>
      <c r="N33" s="58"/>
      <c r="O33" s="53"/>
      <c r="S33" s="59"/>
      <c r="AC33" s="1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15.75" customHeight="1">
      <c r="A34" s="3"/>
      <c r="B34" s="3"/>
      <c r="C34" s="52"/>
      <c r="D34" s="13"/>
      <c r="E34" s="52"/>
      <c r="F34" s="13"/>
      <c r="G34" s="52"/>
      <c r="H34" s="3"/>
      <c r="I34" s="3"/>
      <c r="J34" s="3"/>
      <c r="K34" s="3"/>
      <c r="M34" s="3"/>
      <c r="N34" s="58"/>
      <c r="O34" s="53"/>
      <c r="AC34" s="1"/>
      <c r="AE34" s="3"/>
      <c r="AF34" s="22"/>
      <c r="AG34" s="3"/>
      <c r="AH34" s="3"/>
      <c r="AI34" s="3"/>
      <c r="AJ34" s="3"/>
      <c r="AK34" s="3"/>
      <c r="AL34" s="3"/>
      <c r="AM34" s="3"/>
    </row>
    <row r="35" spans="1:39" ht="15.75" customHeight="1">
      <c r="A35" s="3"/>
      <c r="B35" s="3"/>
      <c r="C35" s="52"/>
      <c r="D35" s="13"/>
      <c r="E35" s="52"/>
      <c r="F35" s="13"/>
      <c r="G35" s="52"/>
      <c r="H35" s="3"/>
      <c r="I35" s="3"/>
      <c r="J35" s="3"/>
      <c r="K35" s="3"/>
      <c r="L35" s="58" t="s">
        <v>52</v>
      </c>
      <c r="M35" s="3"/>
      <c r="N35" s="58"/>
      <c r="O35" s="53"/>
      <c r="AC35" s="1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75" customHeight="1">
      <c r="A36" s="3"/>
      <c r="B36" s="3"/>
      <c r="C36" s="52"/>
      <c r="D36" s="13"/>
      <c r="E36" s="52"/>
      <c r="F36" s="13"/>
      <c r="G36" s="52"/>
      <c r="H36" s="3"/>
      <c r="I36" s="3"/>
      <c r="J36" s="3"/>
      <c r="K36" s="3"/>
      <c r="L36" s="58" t="s">
        <v>23</v>
      </c>
      <c r="M36" s="3"/>
      <c r="N36" s="58"/>
      <c r="O36" s="53"/>
      <c r="AC36" s="1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75" customHeight="1">
      <c r="A37" s="3"/>
      <c r="B37" s="3"/>
      <c r="C37" s="52"/>
      <c r="D37" s="13"/>
      <c r="E37" s="52"/>
      <c r="F37" s="13"/>
      <c r="G37" s="52"/>
      <c r="H37" s="3"/>
      <c r="I37" s="3"/>
      <c r="J37" s="3"/>
      <c r="K37" s="3"/>
      <c r="L37" s="3"/>
      <c r="M37" s="3"/>
      <c r="N37" s="3"/>
      <c r="O37" s="53"/>
      <c r="AC37" s="1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75" customHeight="1">
      <c r="A38" s="3"/>
      <c r="B38" s="3"/>
      <c r="C38" s="52"/>
      <c r="D38" s="13"/>
      <c r="E38" s="52"/>
      <c r="F38" s="13"/>
      <c r="G38" s="52"/>
      <c r="H38" s="3"/>
      <c r="I38" s="3"/>
      <c r="J38" s="3"/>
      <c r="K38" s="3"/>
      <c r="L38" s="3"/>
      <c r="M38" s="3"/>
      <c r="N38" s="3"/>
      <c r="O38" s="53"/>
      <c r="AC38" s="1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75" customHeight="1">
      <c r="A39" s="3"/>
      <c r="B39" s="3"/>
      <c r="C39" s="52"/>
      <c r="D39" s="13"/>
      <c r="E39" s="52"/>
      <c r="F39" s="13"/>
      <c r="G39" s="52"/>
      <c r="H39" s="3"/>
      <c r="I39" s="3"/>
      <c r="J39" s="3"/>
      <c r="K39" s="3"/>
      <c r="L39" s="3"/>
      <c r="M39" s="3"/>
      <c r="N39" s="3"/>
      <c r="O39" s="53"/>
      <c r="AC39" s="1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75" customHeight="1">
      <c r="A40" s="3"/>
      <c r="B40" s="3"/>
      <c r="C40" s="52"/>
      <c r="D40" s="13"/>
      <c r="E40" s="52"/>
      <c r="F40" s="13"/>
      <c r="G40" s="52"/>
      <c r="H40" s="3"/>
      <c r="I40" s="3"/>
      <c r="J40" s="3"/>
      <c r="K40" s="3"/>
      <c r="L40" s="3"/>
      <c r="M40" s="3"/>
      <c r="N40" s="3"/>
      <c r="O40" s="53"/>
      <c r="AC40" s="1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75" customHeight="1">
      <c r="A41" s="3"/>
      <c r="B41" s="3"/>
      <c r="C41" s="3"/>
      <c r="D41" s="22"/>
      <c r="E41" s="52"/>
      <c r="F41" s="13"/>
      <c r="G41" s="52"/>
      <c r="H41" s="3"/>
      <c r="I41" s="3"/>
      <c r="J41" s="3"/>
      <c r="K41" s="3"/>
      <c r="L41" s="3"/>
      <c r="M41" s="3"/>
      <c r="N41" s="3"/>
      <c r="O41" s="53"/>
      <c r="AC41" s="1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75" customHeight="1">
      <c r="A42" s="3"/>
      <c r="B42" s="3"/>
      <c r="C42" s="3"/>
      <c r="D42" s="22"/>
      <c r="E42" s="52"/>
      <c r="F42" s="13"/>
      <c r="G42" s="52"/>
      <c r="H42" s="3"/>
      <c r="I42" s="3"/>
      <c r="J42" s="3"/>
      <c r="K42" s="3"/>
      <c r="L42" s="3"/>
      <c r="M42" s="3"/>
      <c r="N42" s="3"/>
      <c r="AC42" s="1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75" customHeight="1">
      <c r="A43" s="3"/>
      <c r="B43" s="3"/>
      <c r="C43" s="3"/>
      <c r="D43" s="22"/>
      <c r="E43" s="3"/>
      <c r="F43" s="22"/>
      <c r="G43" s="3"/>
      <c r="H43" s="3"/>
      <c r="I43" s="3"/>
      <c r="J43" s="3"/>
      <c r="K43" s="3"/>
      <c r="L43" s="3"/>
      <c r="M43" s="3"/>
      <c r="N43" s="3"/>
      <c r="AC43" s="1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75" customHeight="1">
      <c r="A44" s="3"/>
      <c r="B44" s="3"/>
      <c r="C44" s="3"/>
      <c r="D44" s="3"/>
      <c r="E44" s="3"/>
      <c r="F44" s="22"/>
      <c r="G44" s="3"/>
      <c r="H44" s="3"/>
      <c r="I44" s="3"/>
      <c r="J44" s="3"/>
      <c r="K44" s="3"/>
      <c r="L44" s="3"/>
      <c r="M44" s="3"/>
      <c r="N44" s="3"/>
      <c r="AC44" s="1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AC45" s="1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AC46" s="1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AC47" s="1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AC48" s="1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AC49" s="1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AC50" s="1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AC51" s="1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AC52" s="1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AC53" s="1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AC54" s="1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AC55" s="1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AC56" s="1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AC57" s="1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AC58" s="1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AC59" s="1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AC60" s="1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AC61" s="1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AC62" s="1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AC63" s="1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AC64" s="1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AC65" s="1"/>
      <c r="AE65" s="3"/>
      <c r="AF65" s="3"/>
      <c r="AG65" s="3"/>
      <c r="AH65" s="3"/>
      <c r="AI65" s="3"/>
      <c r="AJ65" s="3"/>
      <c r="AK65" s="3"/>
      <c r="AL65" s="3"/>
      <c r="AM65" s="3"/>
    </row>
    <row r="66" spans="1:3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AC66" s="1"/>
      <c r="AE66" s="3"/>
      <c r="AF66" s="3"/>
      <c r="AG66" s="3"/>
      <c r="AH66" s="3"/>
      <c r="AI66" s="3"/>
      <c r="AJ66" s="3"/>
      <c r="AK66" s="3"/>
      <c r="AL66" s="3"/>
      <c r="AM66" s="3"/>
    </row>
    <row r="67" spans="1:3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AC67" s="1"/>
      <c r="AE67" s="3"/>
      <c r="AF67" s="3"/>
      <c r="AG67" s="3"/>
      <c r="AH67" s="3"/>
      <c r="AI67" s="3"/>
      <c r="AJ67" s="3"/>
      <c r="AK67" s="3"/>
      <c r="AL67" s="3"/>
      <c r="AM67" s="3"/>
    </row>
    <row r="68" spans="1:3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AC68" s="1"/>
      <c r="AE68" s="3"/>
      <c r="AF68" s="3"/>
      <c r="AG68" s="3"/>
      <c r="AH68" s="3"/>
      <c r="AI68" s="3"/>
      <c r="AJ68" s="3"/>
      <c r="AK68" s="3"/>
      <c r="AL68" s="3"/>
      <c r="AM68" s="3"/>
    </row>
    <row r="69" spans="1:3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AC69" s="1"/>
      <c r="AE69" s="3"/>
      <c r="AF69" s="3"/>
      <c r="AG69" s="3"/>
      <c r="AH69" s="3"/>
      <c r="AI69" s="3"/>
      <c r="AJ69" s="3"/>
      <c r="AK69" s="3"/>
      <c r="AL69" s="3"/>
      <c r="AM69" s="3"/>
    </row>
    <row r="70" spans="1:3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AC70" s="1"/>
      <c r="AE70" s="3"/>
      <c r="AF70" s="3"/>
      <c r="AG70" s="3"/>
      <c r="AH70" s="3"/>
      <c r="AI70" s="3"/>
      <c r="AJ70" s="3"/>
      <c r="AK70" s="3"/>
      <c r="AL70" s="3"/>
      <c r="AM70" s="3"/>
    </row>
    <row r="71" spans="1:3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AC71" s="1"/>
      <c r="AE71" s="3"/>
      <c r="AF71" s="3"/>
      <c r="AG71" s="3"/>
      <c r="AH71" s="3"/>
      <c r="AI71" s="3"/>
      <c r="AJ71" s="3"/>
      <c r="AK71" s="3"/>
      <c r="AL71" s="3"/>
      <c r="AM71" s="3"/>
    </row>
    <row r="72" spans="1:3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AC72" s="1"/>
      <c r="AE72" s="3"/>
      <c r="AF72" s="3"/>
      <c r="AG72" s="3"/>
      <c r="AH72" s="3"/>
      <c r="AI72" s="3"/>
      <c r="AJ72" s="3"/>
      <c r="AK72" s="3"/>
      <c r="AL72" s="3"/>
      <c r="AM72" s="3"/>
    </row>
    <row r="73" spans="1:3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AC73" s="1"/>
      <c r="AE73" s="3"/>
      <c r="AF73" s="3"/>
      <c r="AG73" s="3"/>
      <c r="AH73" s="3"/>
      <c r="AI73" s="3"/>
      <c r="AJ73" s="3"/>
      <c r="AK73" s="3"/>
      <c r="AL73" s="3"/>
      <c r="AM73" s="3"/>
    </row>
    <row r="74" spans="1:3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AC74" s="1"/>
      <c r="AE74" s="3"/>
      <c r="AF74" s="3"/>
      <c r="AG74" s="3"/>
      <c r="AH74" s="3"/>
      <c r="AI74" s="3"/>
      <c r="AJ74" s="3"/>
      <c r="AK74" s="3"/>
      <c r="AL74" s="3"/>
      <c r="AM74" s="3"/>
    </row>
    <row r="75" spans="1:3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AC75" s="1"/>
      <c r="AE75" s="3"/>
      <c r="AF75" s="3"/>
      <c r="AG75" s="3"/>
      <c r="AH75" s="3"/>
      <c r="AI75" s="3"/>
      <c r="AJ75" s="3"/>
      <c r="AK75" s="3"/>
      <c r="AL75" s="3"/>
      <c r="AM75" s="3"/>
    </row>
    <row r="76" spans="1:3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AC76" s="1"/>
      <c r="AE76" s="3"/>
      <c r="AF76" s="3"/>
      <c r="AG76" s="3"/>
      <c r="AH76" s="3"/>
      <c r="AI76" s="3"/>
      <c r="AJ76" s="3"/>
      <c r="AK76" s="3"/>
      <c r="AL76" s="3"/>
      <c r="AM76" s="3"/>
    </row>
    <row r="77" spans="1:3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AC77" s="1"/>
      <c r="AE77" s="3"/>
      <c r="AF77" s="3"/>
      <c r="AG77" s="3"/>
      <c r="AH77" s="3"/>
      <c r="AI77" s="3"/>
      <c r="AJ77" s="3"/>
      <c r="AK77" s="3"/>
      <c r="AL77" s="3"/>
      <c r="AM77" s="3"/>
    </row>
    <row r="78" spans="1:3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AC78" s="1"/>
      <c r="AE78" s="3"/>
      <c r="AF78" s="3"/>
      <c r="AG78" s="3"/>
      <c r="AH78" s="3"/>
      <c r="AI78" s="3"/>
      <c r="AJ78" s="3"/>
      <c r="AK78" s="3"/>
      <c r="AL78" s="3"/>
      <c r="AM78" s="3"/>
    </row>
    <row r="79" spans="1:3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AC79" s="1"/>
      <c r="AE79" s="3"/>
      <c r="AF79" s="3"/>
      <c r="AG79" s="3"/>
      <c r="AH79" s="3"/>
      <c r="AI79" s="3"/>
      <c r="AJ79" s="3"/>
      <c r="AK79" s="3"/>
      <c r="AL79" s="3"/>
      <c r="AM79" s="3"/>
    </row>
    <row r="80" spans="1:3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AC80" s="1"/>
      <c r="AE80" s="3"/>
      <c r="AF80" s="3"/>
      <c r="AG80" s="3"/>
      <c r="AH80" s="3"/>
      <c r="AI80" s="3"/>
      <c r="AJ80" s="3"/>
      <c r="AK80" s="3"/>
      <c r="AL80" s="3"/>
      <c r="AM80" s="3"/>
    </row>
    <row r="81" spans="1:3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AC81" s="1"/>
      <c r="AE81" s="3"/>
      <c r="AF81" s="3"/>
      <c r="AG81" s="3"/>
      <c r="AH81" s="3"/>
      <c r="AI81" s="3"/>
      <c r="AJ81" s="3"/>
      <c r="AK81" s="3"/>
      <c r="AL81" s="3"/>
      <c r="AM81" s="3"/>
    </row>
    <row r="82" spans="1:3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AC82" s="1"/>
      <c r="AE82" s="3"/>
      <c r="AF82" s="3"/>
      <c r="AG82" s="3"/>
      <c r="AH82" s="3"/>
      <c r="AI82" s="3"/>
      <c r="AJ82" s="3"/>
      <c r="AK82" s="3"/>
      <c r="AL82" s="3"/>
      <c r="AM82" s="3"/>
    </row>
    <row r="83" spans="1:3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AC83" s="1"/>
      <c r="AE83" s="3"/>
      <c r="AF83" s="3"/>
      <c r="AG83" s="3"/>
      <c r="AH83" s="3"/>
      <c r="AI83" s="3"/>
      <c r="AJ83" s="3"/>
      <c r="AK83" s="3"/>
      <c r="AL83" s="3"/>
      <c r="AM83" s="3"/>
    </row>
    <row r="84" spans="1:3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AC84" s="1"/>
      <c r="AE84" s="3"/>
      <c r="AF84" s="3"/>
      <c r="AG84" s="3"/>
      <c r="AH84" s="3"/>
      <c r="AI84" s="3"/>
      <c r="AJ84" s="3"/>
      <c r="AK84" s="3"/>
      <c r="AL84" s="3"/>
      <c r="AM84" s="3"/>
    </row>
    <row r="85" spans="1:3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AC85" s="1"/>
      <c r="AE85" s="3"/>
      <c r="AF85" s="3"/>
      <c r="AG85" s="3"/>
      <c r="AH85" s="3"/>
      <c r="AI85" s="3"/>
      <c r="AJ85" s="3"/>
      <c r="AK85" s="3"/>
      <c r="AL85" s="3"/>
      <c r="AM85" s="3"/>
    </row>
    <row r="86" spans="1:3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AC86" s="1"/>
      <c r="AE86" s="3"/>
      <c r="AF86" s="3"/>
      <c r="AG86" s="3"/>
      <c r="AH86" s="3"/>
      <c r="AI86" s="3"/>
      <c r="AJ86" s="3"/>
      <c r="AK86" s="3"/>
      <c r="AL86" s="3"/>
      <c r="AM86" s="3"/>
    </row>
    <row r="87" spans="1:3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AC87" s="1"/>
      <c r="AE87" s="3"/>
      <c r="AF87" s="3"/>
      <c r="AG87" s="3"/>
      <c r="AH87" s="3"/>
      <c r="AI87" s="3"/>
      <c r="AJ87" s="3"/>
      <c r="AK87" s="3"/>
      <c r="AL87" s="3"/>
      <c r="AM87" s="3"/>
    </row>
    <row r="88" spans="1:3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AC88" s="1"/>
      <c r="AE88" s="3"/>
      <c r="AF88" s="3"/>
      <c r="AG88" s="3"/>
      <c r="AH88" s="3"/>
      <c r="AI88" s="3"/>
      <c r="AJ88" s="3"/>
      <c r="AK88" s="3"/>
      <c r="AL88" s="3"/>
      <c r="AM88" s="3"/>
    </row>
    <row r="89" spans="1:3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AC89" s="1"/>
      <c r="AE89" s="3"/>
      <c r="AF89" s="3"/>
      <c r="AG89" s="3"/>
      <c r="AH89" s="3"/>
      <c r="AI89" s="3"/>
      <c r="AJ89" s="3"/>
      <c r="AK89" s="3"/>
      <c r="AL89" s="3"/>
      <c r="AM89" s="3"/>
    </row>
    <row r="90" spans="1:3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AC90" s="1"/>
      <c r="AE90" s="3"/>
      <c r="AF90" s="3"/>
      <c r="AG90" s="3"/>
      <c r="AH90" s="3"/>
      <c r="AI90" s="3"/>
      <c r="AJ90" s="3"/>
      <c r="AK90" s="3"/>
      <c r="AL90" s="3"/>
      <c r="AM90" s="3"/>
    </row>
    <row r="91" spans="1:3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AC91" s="1"/>
      <c r="AE91" s="3"/>
      <c r="AF91" s="3"/>
      <c r="AG91" s="3"/>
      <c r="AH91" s="3"/>
      <c r="AI91" s="3"/>
      <c r="AJ91" s="3"/>
      <c r="AK91" s="3"/>
      <c r="AL91" s="3"/>
      <c r="AM91" s="3"/>
    </row>
    <row r="92" spans="1:3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AC92" s="1"/>
      <c r="AE92" s="3"/>
      <c r="AF92" s="3"/>
      <c r="AG92" s="3"/>
      <c r="AH92" s="3"/>
      <c r="AI92" s="3"/>
      <c r="AJ92" s="3"/>
      <c r="AK92" s="3"/>
      <c r="AL92" s="3"/>
      <c r="AM92" s="3"/>
    </row>
    <row r="93" spans="1:3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AC93" s="1"/>
      <c r="AE93" s="3"/>
      <c r="AF93" s="3"/>
      <c r="AG93" s="3"/>
      <c r="AH93" s="3"/>
      <c r="AI93" s="3"/>
      <c r="AJ93" s="3"/>
      <c r="AK93" s="3"/>
      <c r="AL93" s="3"/>
      <c r="AM93" s="3"/>
    </row>
    <row r="94" spans="1:3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AC94" s="1"/>
      <c r="AE94" s="3"/>
      <c r="AF94" s="3"/>
      <c r="AG94" s="3"/>
      <c r="AH94" s="3"/>
      <c r="AI94" s="3"/>
      <c r="AJ94" s="3"/>
      <c r="AK94" s="3"/>
      <c r="AL94" s="3"/>
      <c r="AM94" s="3"/>
    </row>
    <row r="95" spans="1:3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AC95" s="1"/>
      <c r="AE95" s="3"/>
      <c r="AF95" s="3"/>
      <c r="AG95" s="3"/>
      <c r="AH95" s="3"/>
      <c r="AI95" s="3"/>
      <c r="AJ95" s="3"/>
      <c r="AK95" s="3"/>
      <c r="AL95" s="3"/>
      <c r="AM95" s="3"/>
    </row>
    <row r="96" spans="1:3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AC96" s="1"/>
      <c r="AE96" s="3"/>
      <c r="AF96" s="3"/>
      <c r="AG96" s="3"/>
      <c r="AH96" s="3"/>
      <c r="AI96" s="3"/>
      <c r="AJ96" s="3"/>
      <c r="AK96" s="3"/>
      <c r="AL96" s="3"/>
      <c r="AM96" s="3"/>
    </row>
    <row r="97" spans="1:3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AC97" s="1"/>
      <c r="AE97" s="3"/>
      <c r="AF97" s="3"/>
      <c r="AG97" s="3"/>
      <c r="AH97" s="3"/>
      <c r="AI97" s="3"/>
      <c r="AJ97" s="3"/>
      <c r="AK97" s="3"/>
      <c r="AL97" s="3"/>
      <c r="AM97" s="3"/>
    </row>
    <row r="98" spans="1:3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AC98" s="1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AC99" s="1"/>
      <c r="AE99" s="3"/>
      <c r="AF99" s="3"/>
      <c r="AG99" s="3"/>
      <c r="AH99" s="3"/>
      <c r="AI99" s="3"/>
      <c r="AJ99" s="3"/>
      <c r="AK99" s="3"/>
      <c r="AL99" s="3"/>
      <c r="AM99" s="3"/>
    </row>
    <row r="100" spans="1:3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AC100" s="1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AC101" s="1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AC102" s="1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AC103" s="1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AC104" s="1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AC105" s="1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AC106" s="1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AC107" s="1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AC108" s="1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AC109" s="1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AC110" s="1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AC111" s="1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AC112" s="1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1:3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AC113" s="1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1:3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AC114" s="1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1:3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AC115" s="1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1:3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AC116" s="1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1:3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AC117" s="1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1:3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AC118" s="1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1:3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AC119" s="1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1:3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AC120" s="1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1:3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AC121" s="1"/>
      <c r="AE121" s="3"/>
      <c r="AF121" s="3"/>
      <c r="AG121" s="3"/>
      <c r="AH121" s="3"/>
      <c r="AI121" s="3"/>
      <c r="AJ121" s="3"/>
      <c r="AK121" s="3"/>
      <c r="AL121" s="3"/>
      <c r="AM121" s="3"/>
    </row>
    <row r="122" spans="1:3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AC122" s="1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1:3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AC123" s="1"/>
      <c r="AE123" s="3"/>
      <c r="AF123" s="3"/>
      <c r="AG123" s="3"/>
      <c r="AH123" s="3"/>
      <c r="AI123" s="3"/>
      <c r="AJ123" s="3"/>
      <c r="AK123" s="3"/>
      <c r="AL123" s="3"/>
      <c r="AM123" s="3"/>
    </row>
    <row r="124" spans="1:3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AC124" s="1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1:3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AC125" s="1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1:3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AC126" s="1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1:3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AC127" s="1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1:3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AC128" s="1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1:3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AC129" s="1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AC130" s="1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1:3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AC131" s="1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AC132" s="1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AC133" s="1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1:3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AC134" s="1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1:3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AC135" s="1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1:3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AC136" s="1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1:3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AC137" s="1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1:3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AC138" s="1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1: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AC139" s="1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1:3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AC140" s="1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1:3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AC141" s="1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1:3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AC142" s="1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1:3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AC143" s="1"/>
      <c r="AE143" s="3"/>
      <c r="AF143" s="3"/>
      <c r="AG143" s="3"/>
      <c r="AH143" s="3"/>
      <c r="AI143" s="3"/>
      <c r="AJ143" s="3"/>
      <c r="AK143" s="3"/>
      <c r="AL143" s="3"/>
      <c r="AM143" s="3"/>
    </row>
    <row r="144" spans="1:3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AC144" s="1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1:3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AC145" s="1"/>
      <c r="AE145" s="3"/>
      <c r="AF145" s="3"/>
      <c r="AG145" s="3"/>
      <c r="AH145" s="3"/>
      <c r="AI145" s="3"/>
      <c r="AJ145" s="3"/>
      <c r="AK145" s="3"/>
      <c r="AL145" s="3"/>
      <c r="AM145" s="3"/>
    </row>
    <row r="146" spans="1:3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AC146" s="1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1:3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AC147" s="1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1:3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AC148" s="1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1:3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AC149" s="1"/>
      <c r="AE149" s="3"/>
      <c r="AF149" s="3"/>
      <c r="AG149" s="3"/>
      <c r="AH149" s="3"/>
      <c r="AI149" s="3"/>
      <c r="AJ149" s="3"/>
      <c r="AK149" s="3"/>
      <c r="AL149" s="3"/>
      <c r="AM149" s="3"/>
    </row>
    <row r="150" spans="1:3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AC150" s="1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1:3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AC151" s="1"/>
      <c r="AE151" s="3"/>
      <c r="AF151" s="3"/>
      <c r="AG151" s="3"/>
      <c r="AH151" s="3"/>
      <c r="AI151" s="3"/>
      <c r="AJ151" s="3"/>
      <c r="AK151" s="3"/>
      <c r="AL151" s="3"/>
      <c r="AM151" s="3"/>
    </row>
    <row r="152" spans="1:3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AC152" s="1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1:3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AC153" s="1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1:3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AC154" s="1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AC155" s="1"/>
      <c r="AE155" s="3"/>
      <c r="AF155" s="3"/>
      <c r="AG155" s="3"/>
      <c r="AH155" s="3"/>
      <c r="AI155" s="3"/>
      <c r="AJ155" s="3"/>
      <c r="AK155" s="3"/>
      <c r="AL155" s="3"/>
      <c r="AM155" s="3"/>
    </row>
    <row r="156" spans="1:3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AC156" s="1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1:3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AC157" s="1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1:3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AC158" s="1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1:3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AC159" s="1"/>
      <c r="AE159" s="3"/>
      <c r="AF159" s="3"/>
      <c r="AG159" s="3"/>
      <c r="AH159" s="3"/>
      <c r="AI159" s="3"/>
      <c r="AJ159" s="3"/>
      <c r="AK159" s="3"/>
      <c r="AL159" s="3"/>
      <c r="AM159" s="3"/>
    </row>
    <row r="160" spans="1:3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AC160" s="1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1:3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AC161" s="1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1:3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AC162" s="1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1:3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AC163" s="1"/>
      <c r="AE163" s="3"/>
      <c r="AF163" s="3"/>
      <c r="AG163" s="3"/>
      <c r="AH163" s="3"/>
      <c r="AI163" s="3"/>
      <c r="AJ163" s="3"/>
      <c r="AK163" s="3"/>
      <c r="AL163" s="3"/>
      <c r="AM163" s="3"/>
    </row>
    <row r="164" spans="1:3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AC164" s="1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1:3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AC165" s="1"/>
      <c r="AE165" s="3"/>
      <c r="AF165" s="3"/>
      <c r="AG165" s="3"/>
      <c r="AH165" s="3"/>
      <c r="AI165" s="3"/>
      <c r="AJ165" s="3"/>
      <c r="AK165" s="3"/>
      <c r="AL165" s="3"/>
      <c r="AM165" s="3"/>
    </row>
    <row r="166" spans="1:3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AC166" s="1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1:3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AC167" s="1"/>
      <c r="AE167" s="3"/>
      <c r="AF167" s="3"/>
      <c r="AG167" s="3"/>
      <c r="AH167" s="3"/>
      <c r="AI167" s="3"/>
      <c r="AJ167" s="3"/>
      <c r="AK167" s="3"/>
      <c r="AL167" s="3"/>
      <c r="AM167" s="3"/>
    </row>
    <row r="168" spans="1:3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AC168" s="1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1:3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AC169" s="1"/>
      <c r="AE169" s="3"/>
      <c r="AF169" s="3"/>
      <c r="AG169" s="3"/>
      <c r="AH169" s="3"/>
      <c r="AI169" s="3"/>
      <c r="AJ169" s="3"/>
      <c r="AK169" s="3"/>
      <c r="AL169" s="3"/>
      <c r="AM169" s="3"/>
    </row>
    <row r="170" spans="1:3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AC170" s="1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1:3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AC171" s="1"/>
      <c r="AE171" s="3"/>
      <c r="AF171" s="3"/>
      <c r="AG171" s="3"/>
      <c r="AH171" s="3"/>
      <c r="AI171" s="3"/>
      <c r="AJ171" s="3"/>
      <c r="AK171" s="3"/>
      <c r="AL171" s="3"/>
      <c r="AM171" s="3"/>
    </row>
    <row r="172" spans="1:3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AC172" s="1"/>
      <c r="AE172" s="3"/>
      <c r="AF172" s="3"/>
      <c r="AG172" s="3"/>
      <c r="AH172" s="3"/>
      <c r="AI172" s="3"/>
      <c r="AJ172" s="3"/>
      <c r="AK172" s="3"/>
      <c r="AL172" s="3"/>
      <c r="AM172" s="3"/>
    </row>
    <row r="173" spans="1:3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AC173" s="1"/>
      <c r="AE173" s="3"/>
      <c r="AF173" s="3"/>
      <c r="AG173" s="3"/>
      <c r="AH173" s="3"/>
      <c r="AI173" s="3"/>
      <c r="AJ173" s="3"/>
      <c r="AK173" s="3"/>
      <c r="AL173" s="3"/>
      <c r="AM173" s="3"/>
    </row>
    <row r="174" spans="1:3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AC174" s="1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1:3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AC175" s="1"/>
      <c r="AE175" s="3"/>
      <c r="AF175" s="3"/>
      <c r="AG175" s="3"/>
      <c r="AH175" s="3"/>
      <c r="AI175" s="3"/>
      <c r="AJ175" s="3"/>
      <c r="AK175" s="3"/>
      <c r="AL175" s="3"/>
      <c r="AM175" s="3"/>
    </row>
    <row r="176" spans="1:3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AC176" s="1"/>
      <c r="AE176" s="3"/>
      <c r="AF176" s="3"/>
      <c r="AG176" s="3"/>
      <c r="AH176" s="3"/>
      <c r="AI176" s="3"/>
      <c r="AJ176" s="3"/>
      <c r="AK176" s="3"/>
      <c r="AL176" s="3"/>
      <c r="AM176" s="3"/>
    </row>
    <row r="177" spans="1:3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AC177" s="1"/>
      <c r="AE177" s="3"/>
      <c r="AF177" s="3"/>
      <c r="AG177" s="3"/>
      <c r="AH177" s="3"/>
      <c r="AI177" s="3"/>
      <c r="AJ177" s="3"/>
      <c r="AK177" s="3"/>
      <c r="AL177" s="3"/>
      <c r="AM177" s="3"/>
    </row>
    <row r="178" spans="1:3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AC178" s="1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1:3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AC179" s="1"/>
      <c r="AE179" s="3"/>
      <c r="AF179" s="3"/>
      <c r="AG179" s="3"/>
      <c r="AH179" s="3"/>
      <c r="AI179" s="3"/>
      <c r="AJ179" s="3"/>
      <c r="AK179" s="3"/>
      <c r="AL179" s="3"/>
      <c r="AM179" s="3"/>
    </row>
    <row r="180" spans="1:3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AC180" s="1"/>
      <c r="AE180" s="3"/>
      <c r="AF180" s="3"/>
      <c r="AG180" s="3"/>
      <c r="AH180" s="3"/>
      <c r="AI180" s="3"/>
      <c r="AJ180" s="3"/>
      <c r="AK180" s="3"/>
      <c r="AL180" s="3"/>
      <c r="AM180" s="3"/>
    </row>
    <row r="181" spans="1:3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AC181" s="1"/>
      <c r="AE181" s="3"/>
      <c r="AF181" s="3"/>
      <c r="AG181" s="3"/>
      <c r="AH181" s="3"/>
      <c r="AI181" s="3"/>
      <c r="AJ181" s="3"/>
      <c r="AK181" s="3"/>
      <c r="AL181" s="3"/>
      <c r="AM181" s="3"/>
    </row>
    <row r="182" spans="1:3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AC182" s="1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1:3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AC183" s="1"/>
      <c r="AE183" s="3"/>
      <c r="AF183" s="3"/>
      <c r="AG183" s="3"/>
      <c r="AH183" s="3"/>
      <c r="AI183" s="3"/>
      <c r="AJ183" s="3"/>
      <c r="AK183" s="3"/>
      <c r="AL183" s="3"/>
      <c r="AM183" s="3"/>
    </row>
    <row r="184" spans="1:3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AC184" s="1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1:3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AC185" s="1"/>
      <c r="AE185" s="3"/>
      <c r="AF185" s="3"/>
      <c r="AG185" s="3"/>
      <c r="AH185" s="3"/>
      <c r="AI185" s="3"/>
      <c r="AJ185" s="3"/>
      <c r="AK185" s="3"/>
      <c r="AL185" s="3"/>
      <c r="AM185" s="3"/>
    </row>
    <row r="186" spans="1:3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AC186" s="1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1:3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AC187" s="1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1:3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AC188" s="1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1:3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AC189" s="1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1:3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AC190" s="1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1:3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AC191" s="1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1:3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AC192" s="1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1:3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AC193" s="1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1:3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AC194" s="1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1:3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AC195" s="1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3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AC196" s="1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1:3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AC197" s="1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1:3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AC198" s="1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1:3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AC199" s="1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1:3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AC200" s="1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1:3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AC201" s="1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1:3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AC202" s="1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1:3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AC203" s="1"/>
      <c r="AE203" s="3"/>
      <c r="AF203" s="3"/>
      <c r="AG203" s="3"/>
      <c r="AH203" s="3"/>
      <c r="AI203" s="3"/>
      <c r="AJ203" s="3"/>
      <c r="AK203" s="3"/>
      <c r="AL203" s="3"/>
      <c r="AM203" s="3"/>
    </row>
    <row r="204" spans="1:3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AC204" s="1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1:3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AC205" s="1"/>
      <c r="AE205" s="3"/>
      <c r="AF205" s="3"/>
      <c r="AG205" s="3"/>
      <c r="AH205" s="3"/>
      <c r="AI205" s="3"/>
      <c r="AJ205" s="3"/>
      <c r="AK205" s="3"/>
      <c r="AL205" s="3"/>
      <c r="AM205" s="3"/>
    </row>
    <row r="206" spans="1:3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AC206" s="1"/>
      <c r="AE206" s="3"/>
      <c r="AF206" s="3"/>
      <c r="AG206" s="3"/>
      <c r="AH206" s="3"/>
      <c r="AI206" s="3"/>
      <c r="AJ206" s="3"/>
      <c r="AK206" s="3"/>
      <c r="AL206" s="3"/>
      <c r="AM206" s="3"/>
    </row>
    <row r="207" spans="1:3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AC207" s="1"/>
      <c r="AE207" s="3"/>
      <c r="AF207" s="3"/>
      <c r="AG207" s="3"/>
      <c r="AH207" s="3"/>
      <c r="AI207" s="3"/>
      <c r="AJ207" s="3"/>
      <c r="AK207" s="3"/>
      <c r="AL207" s="3"/>
      <c r="AM207" s="3"/>
    </row>
    <row r="208" spans="1:3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AC208" s="1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1:3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AC209" s="1"/>
      <c r="AE209" s="3"/>
      <c r="AF209" s="3"/>
      <c r="AG209" s="3"/>
      <c r="AH209" s="3"/>
      <c r="AI209" s="3"/>
      <c r="AJ209" s="3"/>
      <c r="AK209" s="3"/>
      <c r="AL209" s="3"/>
      <c r="AM209" s="3"/>
    </row>
    <row r="210" spans="1:3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AC210" s="1"/>
      <c r="AE210" s="3"/>
      <c r="AF210" s="3"/>
      <c r="AG210" s="3"/>
      <c r="AH210" s="3"/>
      <c r="AI210" s="3"/>
      <c r="AJ210" s="3"/>
      <c r="AK210" s="3"/>
      <c r="AL210" s="3"/>
      <c r="AM210" s="3"/>
    </row>
    <row r="211" spans="1:3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AC211" s="1"/>
      <c r="AE211" s="3"/>
      <c r="AF211" s="3"/>
      <c r="AG211" s="3"/>
      <c r="AH211" s="3"/>
      <c r="AI211" s="3"/>
      <c r="AJ211" s="3"/>
      <c r="AK211" s="3"/>
      <c r="AL211" s="3"/>
      <c r="AM211" s="3"/>
    </row>
    <row r="212" spans="1:3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AC212" s="1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1:3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AC213" s="1"/>
      <c r="AE213" s="3"/>
      <c r="AF213" s="3"/>
      <c r="AG213" s="3"/>
      <c r="AH213" s="3"/>
      <c r="AI213" s="3"/>
      <c r="AJ213" s="3"/>
      <c r="AK213" s="3"/>
      <c r="AL213" s="3"/>
      <c r="AM213" s="3"/>
    </row>
    <row r="214" spans="1:3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AC214" s="1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1:3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AC215" s="1"/>
      <c r="AE215" s="3"/>
      <c r="AF215" s="3"/>
      <c r="AG215" s="3"/>
      <c r="AH215" s="3"/>
      <c r="AI215" s="3"/>
      <c r="AJ215" s="3"/>
      <c r="AK215" s="3"/>
      <c r="AL215" s="3"/>
      <c r="AM215" s="3"/>
    </row>
    <row r="216" spans="1:3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AC216" s="1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1:3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AC217" s="1"/>
      <c r="AE217" s="3"/>
      <c r="AF217" s="3"/>
      <c r="AG217" s="3"/>
      <c r="AH217" s="3"/>
      <c r="AI217" s="3"/>
      <c r="AJ217" s="3"/>
      <c r="AK217" s="3"/>
      <c r="AL217" s="3"/>
      <c r="AM217" s="3"/>
    </row>
    <row r="218" spans="1:3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AC218" s="1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1:3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AC219" s="1"/>
      <c r="AE219" s="3"/>
      <c r="AF219" s="3"/>
      <c r="AG219" s="3"/>
      <c r="AH219" s="3"/>
      <c r="AI219" s="3"/>
      <c r="AJ219" s="3"/>
      <c r="AK219" s="3"/>
      <c r="AL219" s="3"/>
      <c r="AM219" s="3"/>
    </row>
    <row r="220" spans="1:3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AC220" s="1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1:3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AC221" s="1"/>
      <c r="AE221" s="3"/>
      <c r="AF221" s="3"/>
      <c r="AG221" s="3"/>
      <c r="AH221" s="3"/>
      <c r="AI221" s="3"/>
      <c r="AJ221" s="3"/>
      <c r="AK221" s="3"/>
      <c r="AL221" s="3"/>
      <c r="AM221" s="3"/>
    </row>
    <row r="222" spans="1:3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AC222" s="1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1:3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AC223" s="1"/>
      <c r="AE223" s="3"/>
      <c r="AF223" s="3"/>
      <c r="AG223" s="3"/>
      <c r="AH223" s="3"/>
      <c r="AI223" s="3"/>
      <c r="AJ223" s="3"/>
      <c r="AK223" s="3"/>
      <c r="AL223" s="3"/>
      <c r="AM223" s="3"/>
    </row>
    <row r="224" spans="1:3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AC224" s="1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1:3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AC225" s="1"/>
      <c r="AE225" s="3"/>
      <c r="AF225" s="3"/>
      <c r="AG225" s="3"/>
      <c r="AH225" s="3"/>
      <c r="AI225" s="3"/>
      <c r="AJ225" s="3"/>
      <c r="AK225" s="3"/>
      <c r="AL225" s="3"/>
      <c r="AM225" s="3"/>
    </row>
    <row r="226" spans="1:3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AC226" s="1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1:3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AC227" s="1"/>
      <c r="AE227" s="3"/>
      <c r="AF227" s="3"/>
      <c r="AG227" s="3"/>
      <c r="AH227" s="3"/>
      <c r="AI227" s="3"/>
      <c r="AJ227" s="3"/>
      <c r="AK227" s="3"/>
      <c r="AL227" s="3"/>
      <c r="AM227" s="3"/>
    </row>
    <row r="228" spans="1:3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AC228" s="1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1:3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AC229" s="1"/>
      <c r="AE229" s="3"/>
      <c r="AF229" s="3"/>
      <c r="AG229" s="3"/>
      <c r="AH229" s="3"/>
      <c r="AI229" s="3"/>
      <c r="AJ229" s="3"/>
      <c r="AK229" s="3"/>
      <c r="AL229" s="3"/>
      <c r="AM229" s="3"/>
    </row>
    <row r="230" spans="1:3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AC230" s="1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1:3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AC231" s="1"/>
      <c r="AE231" s="3"/>
      <c r="AF231" s="3"/>
      <c r="AG231" s="3"/>
      <c r="AH231" s="3"/>
      <c r="AI231" s="3"/>
      <c r="AJ231" s="3"/>
      <c r="AK231" s="3"/>
      <c r="AL231" s="3"/>
      <c r="AM231" s="3"/>
    </row>
    <row r="232" spans="1:3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AC232" s="1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1:3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AC233" s="1"/>
      <c r="AE233" s="3"/>
      <c r="AF233" s="3"/>
      <c r="AG233" s="3"/>
      <c r="AH233" s="3"/>
      <c r="AI233" s="3"/>
      <c r="AJ233" s="3"/>
      <c r="AK233" s="3"/>
      <c r="AL233" s="3"/>
      <c r="AM233" s="3"/>
    </row>
    <row r="234" spans="1:3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AC234" s="1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1:3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AC235" s="1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1:3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AC236" s="1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1:39" ht="15.75" customHeight="1">
      <c r="AC237" s="1"/>
    </row>
    <row r="238" spans="1:39" ht="15.75" customHeight="1">
      <c r="AC238" s="1"/>
    </row>
    <row r="239" spans="1:39" ht="15.75" customHeight="1">
      <c r="AC239" s="1"/>
    </row>
    <row r="240" spans="1:39" ht="15.75" customHeight="1">
      <c r="AC240" s="1"/>
    </row>
    <row r="241" spans="29:29" ht="15.75" customHeight="1">
      <c r="AC241" s="1"/>
    </row>
    <row r="242" spans="29:29" ht="15.75" customHeight="1">
      <c r="AC242" s="1"/>
    </row>
    <row r="243" spans="29:29" ht="15.75" customHeight="1">
      <c r="AC243" s="1"/>
    </row>
    <row r="244" spans="29:29" ht="15.75" customHeight="1">
      <c r="AC244" s="1"/>
    </row>
    <row r="245" spans="29:29" ht="15.75" customHeight="1">
      <c r="AC245" s="1"/>
    </row>
    <row r="246" spans="29:29" ht="15.75" customHeight="1">
      <c r="AC246" s="1"/>
    </row>
    <row r="247" spans="29:29" ht="15.75" customHeight="1">
      <c r="AC247" s="1"/>
    </row>
    <row r="248" spans="29:29" ht="15.75" customHeight="1">
      <c r="AC248" s="1"/>
    </row>
    <row r="249" spans="29:29" ht="15.75" customHeight="1">
      <c r="AC249" s="1"/>
    </row>
    <row r="250" spans="29:29" ht="15.75" customHeight="1">
      <c r="AC250" s="1"/>
    </row>
    <row r="251" spans="29:29" ht="15.75" customHeight="1">
      <c r="AC251" s="1"/>
    </row>
    <row r="252" spans="29:29" ht="15.75" customHeight="1">
      <c r="AC252" s="1"/>
    </row>
    <row r="253" spans="29:29" ht="15.75" customHeight="1">
      <c r="AC253" s="1"/>
    </row>
    <row r="254" spans="29:29" ht="15.75" customHeight="1">
      <c r="AC254" s="1"/>
    </row>
    <row r="255" spans="29:29" ht="15.75" customHeight="1">
      <c r="AC255" s="1"/>
    </row>
    <row r="256" spans="29:29" ht="15.75" customHeight="1">
      <c r="AC256" s="1"/>
    </row>
    <row r="257" spans="29:29" ht="15.75" customHeight="1">
      <c r="AC257" s="1"/>
    </row>
    <row r="258" spans="29:29" ht="15.75" customHeight="1">
      <c r="AC258" s="1"/>
    </row>
    <row r="259" spans="29:29" ht="15.75" customHeight="1">
      <c r="AC259" s="1"/>
    </row>
    <row r="260" spans="29:29" ht="15.75" customHeight="1">
      <c r="AC260" s="1"/>
    </row>
    <row r="261" spans="29:29" ht="15.75" customHeight="1">
      <c r="AC261" s="1"/>
    </row>
    <row r="262" spans="29:29" ht="15.75" customHeight="1">
      <c r="AC262" s="1"/>
    </row>
    <row r="263" spans="29:29" ht="15.75" customHeight="1">
      <c r="AC263" s="1"/>
    </row>
    <row r="264" spans="29:29" ht="15.75" customHeight="1">
      <c r="AC264" s="1"/>
    </row>
    <row r="265" spans="29:29" ht="15.75" customHeight="1">
      <c r="AC265" s="1"/>
    </row>
    <row r="266" spans="29:29" ht="15.75" customHeight="1">
      <c r="AC266" s="1"/>
    </row>
    <row r="267" spans="29:29" ht="15.75" customHeight="1">
      <c r="AC267" s="1"/>
    </row>
    <row r="268" spans="29:29" ht="15.75" customHeight="1">
      <c r="AC268" s="1"/>
    </row>
    <row r="269" spans="29:29" ht="15.75" customHeight="1">
      <c r="AC269" s="1"/>
    </row>
    <row r="270" spans="29:29" ht="15.75" customHeight="1">
      <c r="AC270" s="1"/>
    </row>
    <row r="271" spans="29:29" ht="15.75" customHeight="1">
      <c r="AC271" s="1"/>
    </row>
    <row r="272" spans="29:29" ht="15.75" customHeight="1">
      <c r="AC272" s="1"/>
    </row>
    <row r="273" spans="29:29" ht="15.75" customHeight="1">
      <c r="AC273" s="1"/>
    </row>
    <row r="274" spans="29:29" ht="15.75" customHeight="1">
      <c r="AC274" s="1"/>
    </row>
    <row r="275" spans="29:29" ht="15.75" customHeight="1">
      <c r="AC275" s="1"/>
    </row>
    <row r="276" spans="29:29" ht="15.75" customHeight="1">
      <c r="AC276" s="1"/>
    </row>
    <row r="277" spans="29:29" ht="15.75" customHeight="1">
      <c r="AC277" s="1"/>
    </row>
    <row r="278" spans="29:29" ht="15.75" customHeight="1">
      <c r="AC278" s="1"/>
    </row>
    <row r="279" spans="29:29" ht="15.75" customHeight="1">
      <c r="AC279" s="1"/>
    </row>
    <row r="280" spans="29:29" ht="15.75" customHeight="1">
      <c r="AC280" s="1"/>
    </row>
    <row r="281" spans="29:29" ht="15.75" customHeight="1">
      <c r="AC281" s="1"/>
    </row>
    <row r="282" spans="29:29" ht="15.75" customHeight="1">
      <c r="AC282" s="1"/>
    </row>
    <row r="283" spans="29:29" ht="15.75" customHeight="1">
      <c r="AC283" s="1"/>
    </row>
    <row r="284" spans="29:29" ht="15.75" customHeight="1">
      <c r="AC284" s="1"/>
    </row>
    <row r="285" spans="29:29" ht="15.75" customHeight="1">
      <c r="AC285" s="1"/>
    </row>
    <row r="286" spans="29:29" ht="15.75" customHeight="1">
      <c r="AC286" s="1"/>
    </row>
    <row r="287" spans="29:29" ht="15.75" customHeight="1">
      <c r="AC287" s="1"/>
    </row>
    <row r="288" spans="29:29" ht="15.75" customHeight="1">
      <c r="AC288" s="1"/>
    </row>
    <row r="289" spans="29:29" ht="15.75" customHeight="1">
      <c r="AC289" s="1"/>
    </row>
    <row r="290" spans="29:29" ht="15.75" customHeight="1">
      <c r="AC290" s="1"/>
    </row>
    <row r="291" spans="29:29" ht="15.75" customHeight="1">
      <c r="AC291" s="1"/>
    </row>
    <row r="292" spans="29:29" ht="15.75" customHeight="1">
      <c r="AC292" s="1"/>
    </row>
    <row r="293" spans="29:29" ht="15.75" customHeight="1">
      <c r="AC293" s="1"/>
    </row>
    <row r="294" spans="29:29" ht="15.75" customHeight="1">
      <c r="AC294" s="1"/>
    </row>
    <row r="295" spans="29:29" ht="15.75" customHeight="1">
      <c r="AC295" s="1"/>
    </row>
    <row r="296" spans="29:29" ht="15.75" customHeight="1">
      <c r="AC296" s="1"/>
    </row>
    <row r="297" spans="29:29" ht="15.75" customHeight="1">
      <c r="AC297" s="1"/>
    </row>
    <row r="298" spans="29:29" ht="15.75" customHeight="1">
      <c r="AC298" s="1"/>
    </row>
    <row r="299" spans="29:29" ht="15.75" customHeight="1">
      <c r="AC299" s="1"/>
    </row>
    <row r="300" spans="29:29" ht="15.75" customHeight="1">
      <c r="AC300" s="1"/>
    </row>
    <row r="301" spans="29:29" ht="15.75" customHeight="1">
      <c r="AC301" s="1"/>
    </row>
    <row r="302" spans="29:29" ht="15.75" customHeight="1">
      <c r="AC302" s="1"/>
    </row>
    <row r="303" spans="29:29" ht="15.75" customHeight="1">
      <c r="AC303" s="1"/>
    </row>
    <row r="304" spans="29:29" ht="15.75" customHeight="1">
      <c r="AC304" s="1"/>
    </row>
    <row r="305" spans="29:29" ht="15.75" customHeight="1">
      <c r="AC305" s="1"/>
    </row>
    <row r="306" spans="29:29" ht="15.75" customHeight="1">
      <c r="AC306" s="1"/>
    </row>
    <row r="307" spans="29:29" ht="15.75" customHeight="1">
      <c r="AC307" s="1"/>
    </row>
    <row r="308" spans="29:29" ht="15.75" customHeight="1">
      <c r="AC308" s="1"/>
    </row>
    <row r="309" spans="29:29" ht="15.75" customHeight="1">
      <c r="AC309" s="1"/>
    </row>
    <row r="310" spans="29:29" ht="15.75" customHeight="1">
      <c r="AC310" s="1"/>
    </row>
    <row r="311" spans="29:29" ht="15.75" customHeight="1">
      <c r="AC311" s="1"/>
    </row>
    <row r="312" spans="29:29" ht="15.75" customHeight="1">
      <c r="AC312" s="1"/>
    </row>
    <row r="313" spans="29:29" ht="15.75" customHeight="1">
      <c r="AC313" s="1"/>
    </row>
    <row r="314" spans="29:29" ht="15.75" customHeight="1">
      <c r="AC314" s="1"/>
    </row>
    <row r="315" spans="29:29" ht="15.75" customHeight="1">
      <c r="AC315" s="1"/>
    </row>
    <row r="316" spans="29:29" ht="15.75" customHeight="1">
      <c r="AC316" s="1"/>
    </row>
    <row r="317" spans="29:29" ht="15.75" customHeight="1">
      <c r="AC317" s="1"/>
    </row>
    <row r="318" spans="29:29" ht="15.75" customHeight="1">
      <c r="AC318" s="1"/>
    </row>
    <row r="319" spans="29:29" ht="15.75" customHeight="1">
      <c r="AC319" s="1"/>
    </row>
    <row r="320" spans="29:29" ht="15.75" customHeight="1">
      <c r="AC320" s="1"/>
    </row>
    <row r="321" spans="29:29" ht="15.75" customHeight="1">
      <c r="AC321" s="1"/>
    </row>
    <row r="322" spans="29:29" ht="15.75" customHeight="1">
      <c r="AC322" s="1"/>
    </row>
    <row r="323" spans="29:29" ht="15.75" customHeight="1">
      <c r="AC323" s="1"/>
    </row>
    <row r="324" spans="29:29" ht="15.75" customHeight="1">
      <c r="AC324" s="1"/>
    </row>
    <row r="325" spans="29:29" ht="15.75" customHeight="1">
      <c r="AC325" s="1"/>
    </row>
    <row r="326" spans="29:29" ht="15.75" customHeight="1">
      <c r="AC326" s="1"/>
    </row>
    <row r="327" spans="29:29" ht="15.75" customHeight="1">
      <c r="AC327" s="1"/>
    </row>
    <row r="328" spans="29:29" ht="15.75" customHeight="1">
      <c r="AC328" s="1"/>
    </row>
    <row r="329" spans="29:29" ht="15.75" customHeight="1">
      <c r="AC329" s="1"/>
    </row>
    <row r="330" spans="29:29" ht="15.75" customHeight="1">
      <c r="AC330" s="1"/>
    </row>
    <row r="331" spans="29:29" ht="15.75" customHeight="1">
      <c r="AC331" s="1"/>
    </row>
    <row r="332" spans="29:29" ht="15.75" customHeight="1">
      <c r="AC332" s="1"/>
    </row>
    <row r="333" spans="29:29" ht="15.75" customHeight="1">
      <c r="AC333" s="1"/>
    </row>
    <row r="334" spans="29:29" ht="15.75" customHeight="1">
      <c r="AC334" s="1"/>
    </row>
    <row r="335" spans="29:29" ht="15.75" customHeight="1">
      <c r="AC335" s="1"/>
    </row>
    <row r="336" spans="29:29" ht="15.75" customHeight="1">
      <c r="AC336" s="1"/>
    </row>
    <row r="337" spans="29:29" ht="15.75" customHeight="1">
      <c r="AC337" s="1"/>
    </row>
    <row r="338" spans="29:29" ht="15.75" customHeight="1">
      <c r="AC338" s="1"/>
    </row>
    <row r="339" spans="29:29" ht="15.75" customHeight="1">
      <c r="AC339" s="1"/>
    </row>
    <row r="340" spans="29:29" ht="15.75" customHeight="1">
      <c r="AC340" s="1"/>
    </row>
    <row r="341" spans="29:29" ht="15.75" customHeight="1">
      <c r="AC341" s="1"/>
    </row>
    <row r="342" spans="29:29" ht="15.75" customHeight="1">
      <c r="AC342" s="1"/>
    </row>
    <row r="343" spans="29:29" ht="15.75" customHeight="1">
      <c r="AC343" s="1"/>
    </row>
    <row r="344" spans="29:29" ht="15.75" customHeight="1">
      <c r="AC344" s="1"/>
    </row>
    <row r="345" spans="29:29" ht="15.75" customHeight="1">
      <c r="AC345" s="1"/>
    </row>
    <row r="346" spans="29:29" ht="15.75" customHeight="1">
      <c r="AC346" s="1"/>
    </row>
    <row r="347" spans="29:29" ht="15.75" customHeight="1">
      <c r="AC347" s="1"/>
    </row>
    <row r="348" spans="29:29" ht="15.75" customHeight="1">
      <c r="AC348" s="1"/>
    </row>
    <row r="349" spans="29:29" ht="15.75" customHeight="1">
      <c r="AC349" s="1"/>
    </row>
    <row r="350" spans="29:29" ht="15.75" customHeight="1">
      <c r="AC350" s="1"/>
    </row>
    <row r="351" spans="29:29" ht="15.75" customHeight="1">
      <c r="AC351" s="1"/>
    </row>
    <row r="352" spans="29:29" ht="15.75" customHeight="1">
      <c r="AC352" s="1"/>
    </row>
    <row r="353" spans="29:29" ht="15.75" customHeight="1">
      <c r="AC353" s="1"/>
    </row>
    <row r="354" spans="29:29" ht="15.75" customHeight="1">
      <c r="AC354" s="1"/>
    </row>
    <row r="355" spans="29:29" ht="15.75" customHeight="1">
      <c r="AC355" s="1"/>
    </row>
    <row r="356" spans="29:29" ht="15.75" customHeight="1">
      <c r="AC356" s="1"/>
    </row>
    <row r="357" spans="29:29" ht="15.75" customHeight="1">
      <c r="AC357" s="1"/>
    </row>
    <row r="358" spans="29:29" ht="15.75" customHeight="1">
      <c r="AC358" s="1"/>
    </row>
    <row r="359" spans="29:29" ht="15.75" customHeight="1">
      <c r="AC359" s="1"/>
    </row>
    <row r="360" spans="29:29" ht="15.75" customHeight="1">
      <c r="AC360" s="1"/>
    </row>
    <row r="361" spans="29:29" ht="15.75" customHeight="1">
      <c r="AC361" s="1"/>
    </row>
    <row r="362" spans="29:29" ht="15.75" customHeight="1">
      <c r="AC362" s="1"/>
    </row>
    <row r="363" spans="29:29" ht="15.75" customHeight="1">
      <c r="AC363" s="1"/>
    </row>
    <row r="364" spans="29:29" ht="15.75" customHeight="1">
      <c r="AC364" s="1"/>
    </row>
    <row r="365" spans="29:29" ht="15.75" customHeight="1">
      <c r="AC365" s="1"/>
    </row>
    <row r="366" spans="29:29" ht="15.75" customHeight="1">
      <c r="AC366" s="1"/>
    </row>
    <row r="367" spans="29:29" ht="15.75" customHeight="1">
      <c r="AC367" s="1"/>
    </row>
    <row r="368" spans="29:29" ht="15.75" customHeight="1">
      <c r="AC368" s="1"/>
    </row>
    <row r="369" spans="29:29" ht="15.75" customHeight="1">
      <c r="AC369" s="1"/>
    </row>
    <row r="370" spans="29:29" ht="15.75" customHeight="1">
      <c r="AC370" s="1"/>
    </row>
    <row r="371" spans="29:29" ht="15.75" customHeight="1">
      <c r="AC371" s="1"/>
    </row>
    <row r="372" spans="29:29" ht="15.75" customHeight="1">
      <c r="AC372" s="1"/>
    </row>
    <row r="373" spans="29:29" ht="15.75" customHeight="1">
      <c r="AC373" s="1"/>
    </row>
    <row r="374" spans="29:29" ht="15.75" customHeight="1">
      <c r="AC374" s="1"/>
    </row>
    <row r="375" spans="29:29" ht="15.75" customHeight="1">
      <c r="AC375" s="1"/>
    </row>
    <row r="376" spans="29:29" ht="15.75" customHeight="1">
      <c r="AC376" s="1"/>
    </row>
    <row r="377" spans="29:29" ht="15.75" customHeight="1">
      <c r="AC377" s="1"/>
    </row>
    <row r="378" spans="29:29" ht="15.75" customHeight="1">
      <c r="AC378" s="1"/>
    </row>
    <row r="379" spans="29:29" ht="15.75" customHeight="1">
      <c r="AC379" s="1"/>
    </row>
    <row r="380" spans="29:29" ht="15.75" customHeight="1">
      <c r="AC380" s="1"/>
    </row>
    <row r="381" spans="29:29" ht="15.75" customHeight="1">
      <c r="AC381" s="1"/>
    </row>
    <row r="382" spans="29:29" ht="15.75" customHeight="1">
      <c r="AC382" s="1"/>
    </row>
    <row r="383" spans="29:29" ht="15.75" customHeight="1">
      <c r="AC383" s="1"/>
    </row>
    <row r="384" spans="29:29" ht="15.75" customHeight="1">
      <c r="AC384" s="1"/>
    </row>
    <row r="385" spans="29:29" ht="15.75" customHeight="1">
      <c r="AC385" s="1"/>
    </row>
    <row r="386" spans="29:29" ht="15.75" customHeight="1">
      <c r="AC386" s="1"/>
    </row>
    <row r="387" spans="29:29" ht="15.75" customHeight="1">
      <c r="AC387" s="1"/>
    </row>
    <row r="388" spans="29:29" ht="15.75" customHeight="1">
      <c r="AC388" s="1"/>
    </row>
    <row r="389" spans="29:29" ht="15.75" customHeight="1">
      <c r="AC389" s="1"/>
    </row>
    <row r="390" spans="29:29" ht="15.75" customHeight="1">
      <c r="AC390" s="1"/>
    </row>
    <row r="391" spans="29:29" ht="15.75" customHeight="1">
      <c r="AC391" s="1"/>
    </row>
    <row r="392" spans="29:29" ht="15.75" customHeight="1">
      <c r="AC392" s="1"/>
    </row>
    <row r="393" spans="29:29" ht="15.75" customHeight="1">
      <c r="AC393" s="1"/>
    </row>
    <row r="394" spans="29:29" ht="15.75" customHeight="1">
      <c r="AC394" s="1"/>
    </row>
    <row r="395" spans="29:29" ht="15.75" customHeight="1">
      <c r="AC395" s="1"/>
    </row>
    <row r="396" spans="29:29" ht="15.75" customHeight="1">
      <c r="AC396" s="1"/>
    </row>
    <row r="397" spans="29:29" ht="15.75" customHeight="1">
      <c r="AC397" s="1"/>
    </row>
    <row r="398" spans="29:29" ht="15.75" customHeight="1">
      <c r="AC398" s="1"/>
    </row>
    <row r="399" spans="29:29" ht="15.75" customHeight="1">
      <c r="AC399" s="1"/>
    </row>
    <row r="400" spans="29:29" ht="15.75" customHeight="1">
      <c r="AC400" s="1"/>
    </row>
    <row r="401" spans="29:29" ht="15.75" customHeight="1">
      <c r="AC401" s="1"/>
    </row>
    <row r="402" spans="29:29" ht="15.75" customHeight="1">
      <c r="AC402" s="1"/>
    </row>
    <row r="403" spans="29:29" ht="15.75" customHeight="1">
      <c r="AC403" s="1"/>
    </row>
    <row r="404" spans="29:29" ht="15.75" customHeight="1">
      <c r="AC404" s="1"/>
    </row>
    <row r="405" spans="29:29" ht="15.75" customHeight="1">
      <c r="AC405" s="1"/>
    </row>
    <row r="406" spans="29:29" ht="15.75" customHeight="1">
      <c r="AC406" s="1"/>
    </row>
    <row r="407" spans="29:29" ht="15.75" customHeight="1">
      <c r="AC407" s="1"/>
    </row>
    <row r="408" spans="29:29" ht="15.75" customHeight="1">
      <c r="AC408" s="1"/>
    </row>
    <row r="409" spans="29:29" ht="15.75" customHeight="1">
      <c r="AC409" s="1"/>
    </row>
    <row r="410" spans="29:29" ht="15.75" customHeight="1">
      <c r="AC410" s="1"/>
    </row>
    <row r="411" spans="29:29" ht="15.75" customHeight="1">
      <c r="AC411" s="1"/>
    </row>
    <row r="412" spans="29:29" ht="15.75" customHeight="1">
      <c r="AC412" s="1"/>
    </row>
    <row r="413" spans="29:29" ht="15.75" customHeight="1">
      <c r="AC413" s="1"/>
    </row>
    <row r="414" spans="29:29" ht="15.75" customHeight="1">
      <c r="AC414" s="1"/>
    </row>
    <row r="415" spans="29:29" ht="15.75" customHeight="1">
      <c r="AC415" s="1"/>
    </row>
    <row r="416" spans="29:29" ht="15.75" customHeight="1">
      <c r="AC416" s="1"/>
    </row>
    <row r="417" spans="29:29" ht="15.75" customHeight="1">
      <c r="AC417" s="1"/>
    </row>
    <row r="418" spans="29:29" ht="15.75" customHeight="1">
      <c r="AC418" s="1"/>
    </row>
    <row r="419" spans="29:29" ht="15.75" customHeight="1">
      <c r="AC419" s="1"/>
    </row>
    <row r="420" spans="29:29" ht="15.75" customHeight="1">
      <c r="AC420" s="1"/>
    </row>
    <row r="421" spans="29:29" ht="15.75" customHeight="1">
      <c r="AC421" s="1"/>
    </row>
    <row r="422" spans="29:29" ht="15.75" customHeight="1">
      <c r="AC422" s="1"/>
    </row>
    <row r="423" spans="29:29" ht="15.75" customHeight="1">
      <c r="AC423" s="1"/>
    </row>
    <row r="424" spans="29:29" ht="15.75" customHeight="1">
      <c r="AC424" s="1"/>
    </row>
    <row r="425" spans="29:29" ht="15.75" customHeight="1">
      <c r="AC425" s="1"/>
    </row>
    <row r="426" spans="29:29" ht="15.75" customHeight="1">
      <c r="AC426" s="1"/>
    </row>
    <row r="427" spans="29:29" ht="15.75" customHeight="1">
      <c r="AC427" s="1"/>
    </row>
    <row r="428" spans="29:29" ht="15.75" customHeight="1">
      <c r="AC428" s="1"/>
    </row>
    <row r="429" spans="29:29" ht="15.75" customHeight="1">
      <c r="AC429" s="1"/>
    </row>
    <row r="430" spans="29:29" ht="15.75" customHeight="1">
      <c r="AC430" s="1"/>
    </row>
    <row r="431" spans="29:29" ht="15.75" customHeight="1">
      <c r="AC431" s="1"/>
    </row>
    <row r="432" spans="29:29" ht="15.75" customHeight="1">
      <c r="AC432" s="1"/>
    </row>
    <row r="433" spans="29:29" ht="15.75" customHeight="1">
      <c r="AC433" s="1"/>
    </row>
    <row r="434" spans="29:29" ht="15.75" customHeight="1">
      <c r="AC434" s="1"/>
    </row>
    <row r="435" spans="29:29" ht="15.75" customHeight="1">
      <c r="AC435" s="1"/>
    </row>
    <row r="436" spans="29:29" ht="15.75" customHeight="1">
      <c r="AC436" s="1"/>
    </row>
    <row r="437" spans="29:29" ht="15.75" customHeight="1">
      <c r="AC437" s="1"/>
    </row>
    <row r="438" spans="29:29" ht="15.75" customHeight="1">
      <c r="AC438" s="1"/>
    </row>
    <row r="439" spans="29:29" ht="15.75" customHeight="1">
      <c r="AC439" s="1"/>
    </row>
    <row r="440" spans="29:29" ht="15.75" customHeight="1">
      <c r="AC440" s="1"/>
    </row>
    <row r="441" spans="29:29" ht="15.75" customHeight="1">
      <c r="AC441" s="1"/>
    </row>
    <row r="442" spans="29:29" ht="15.75" customHeight="1">
      <c r="AC442" s="1"/>
    </row>
    <row r="443" spans="29:29" ht="15.75" customHeight="1">
      <c r="AC443" s="1"/>
    </row>
    <row r="444" spans="29:29" ht="15.75" customHeight="1">
      <c r="AC444" s="1"/>
    </row>
    <row r="445" spans="29:29" ht="15.75" customHeight="1">
      <c r="AC445" s="1"/>
    </row>
    <row r="446" spans="29:29" ht="15.75" customHeight="1">
      <c r="AC446" s="1"/>
    </row>
    <row r="447" spans="29:29" ht="15.75" customHeight="1">
      <c r="AC447" s="1"/>
    </row>
    <row r="448" spans="29:29" ht="15.75" customHeight="1">
      <c r="AC448" s="1"/>
    </row>
    <row r="449" spans="29:29" ht="15.75" customHeight="1">
      <c r="AC449" s="1"/>
    </row>
    <row r="450" spans="29:29" ht="15.75" customHeight="1">
      <c r="AC450" s="1"/>
    </row>
    <row r="451" spans="29:29" ht="15.75" customHeight="1">
      <c r="AC451" s="1"/>
    </row>
    <row r="452" spans="29:29" ht="15.75" customHeight="1">
      <c r="AC452" s="1"/>
    </row>
    <row r="453" spans="29:29" ht="15.75" customHeight="1">
      <c r="AC453" s="1"/>
    </row>
    <row r="454" spans="29:29" ht="15.75" customHeight="1">
      <c r="AC454" s="1"/>
    </row>
    <row r="455" spans="29:29" ht="15.75" customHeight="1">
      <c r="AC455" s="1"/>
    </row>
    <row r="456" spans="29:29" ht="15.75" customHeight="1">
      <c r="AC456" s="1"/>
    </row>
    <row r="457" spans="29:29" ht="15.75" customHeight="1">
      <c r="AC457" s="1"/>
    </row>
    <row r="458" spans="29:29" ht="15.75" customHeight="1">
      <c r="AC458" s="1"/>
    </row>
    <row r="459" spans="29:29" ht="15.75" customHeight="1">
      <c r="AC459" s="1"/>
    </row>
    <row r="460" spans="29:29" ht="15.75" customHeight="1">
      <c r="AC460" s="1"/>
    </row>
    <row r="461" spans="29:29" ht="15.75" customHeight="1">
      <c r="AC461" s="1"/>
    </row>
    <row r="462" spans="29:29" ht="15.75" customHeight="1">
      <c r="AC462" s="1"/>
    </row>
    <row r="463" spans="29:29" ht="15.75" customHeight="1">
      <c r="AC463" s="1"/>
    </row>
    <row r="464" spans="29:29" ht="15.75" customHeight="1">
      <c r="AC464" s="1"/>
    </row>
    <row r="465" spans="29:29" ht="15.75" customHeight="1">
      <c r="AC465" s="1"/>
    </row>
    <row r="466" spans="29:29" ht="15.75" customHeight="1">
      <c r="AC466" s="1"/>
    </row>
    <row r="467" spans="29:29" ht="15.75" customHeight="1">
      <c r="AC467" s="1"/>
    </row>
    <row r="468" spans="29:29" ht="15.75" customHeight="1">
      <c r="AC468" s="1"/>
    </row>
    <row r="469" spans="29:29" ht="15.75" customHeight="1">
      <c r="AC469" s="1"/>
    </row>
    <row r="470" spans="29:29" ht="15.75" customHeight="1">
      <c r="AC470" s="1"/>
    </row>
    <row r="471" spans="29:29" ht="15.75" customHeight="1">
      <c r="AC471" s="1"/>
    </row>
    <row r="472" spans="29:29" ht="15.75" customHeight="1">
      <c r="AC472" s="1"/>
    </row>
    <row r="473" spans="29:29" ht="15.75" customHeight="1">
      <c r="AC473" s="1"/>
    </row>
    <row r="474" spans="29:29" ht="15.75" customHeight="1">
      <c r="AC474" s="1"/>
    </row>
    <row r="475" spans="29:29" ht="15.75" customHeight="1">
      <c r="AC475" s="1"/>
    </row>
    <row r="476" spans="29:29" ht="15.75" customHeight="1">
      <c r="AC476" s="1"/>
    </row>
    <row r="477" spans="29:29" ht="15.75" customHeight="1">
      <c r="AC477" s="1"/>
    </row>
    <row r="478" spans="29:29" ht="15.75" customHeight="1">
      <c r="AC478" s="1"/>
    </row>
    <row r="479" spans="29:29" ht="15.75" customHeight="1">
      <c r="AC479" s="1"/>
    </row>
    <row r="480" spans="29:29" ht="15.75" customHeight="1">
      <c r="AC480" s="1"/>
    </row>
    <row r="481" spans="29:29" ht="15.75" customHeight="1">
      <c r="AC481" s="1"/>
    </row>
    <row r="482" spans="29:29" ht="15.75" customHeight="1">
      <c r="AC482" s="1"/>
    </row>
    <row r="483" spans="29:29" ht="15.75" customHeight="1">
      <c r="AC483" s="1"/>
    </row>
    <row r="484" spans="29:29" ht="15.75" customHeight="1">
      <c r="AC484" s="1"/>
    </row>
    <row r="485" spans="29:29" ht="15.75" customHeight="1">
      <c r="AC485" s="1"/>
    </row>
    <row r="486" spans="29:29" ht="15.75" customHeight="1">
      <c r="AC486" s="1"/>
    </row>
    <row r="487" spans="29:29" ht="15.75" customHeight="1">
      <c r="AC487" s="1"/>
    </row>
    <row r="488" spans="29:29" ht="15.75" customHeight="1">
      <c r="AC488" s="1"/>
    </row>
    <row r="489" spans="29:29" ht="15.75" customHeight="1">
      <c r="AC489" s="1"/>
    </row>
    <row r="490" spans="29:29" ht="15.75" customHeight="1">
      <c r="AC490" s="1"/>
    </row>
    <row r="491" spans="29:29" ht="15.75" customHeight="1">
      <c r="AC491" s="1"/>
    </row>
    <row r="492" spans="29:29" ht="15.75" customHeight="1">
      <c r="AC492" s="1"/>
    </row>
    <row r="493" spans="29:29" ht="15.75" customHeight="1">
      <c r="AC493" s="1"/>
    </row>
    <row r="494" spans="29:29" ht="15.75" customHeight="1">
      <c r="AC494" s="1"/>
    </row>
    <row r="495" spans="29:29" ht="15.75" customHeight="1">
      <c r="AC495" s="1"/>
    </row>
    <row r="496" spans="29:29" ht="15.75" customHeight="1">
      <c r="AC496" s="1"/>
    </row>
    <row r="497" spans="29:29" ht="15.75" customHeight="1">
      <c r="AC497" s="1"/>
    </row>
    <row r="498" spans="29:29" ht="15.75" customHeight="1">
      <c r="AC498" s="1"/>
    </row>
    <row r="499" spans="29:29" ht="15.75" customHeight="1">
      <c r="AC499" s="1"/>
    </row>
    <row r="500" spans="29:29" ht="15.75" customHeight="1">
      <c r="AC500" s="1"/>
    </row>
    <row r="501" spans="29:29" ht="15.75" customHeight="1">
      <c r="AC501" s="1"/>
    </row>
    <row r="502" spans="29:29" ht="15.75" customHeight="1">
      <c r="AC502" s="1"/>
    </row>
    <row r="503" spans="29:29" ht="15.75" customHeight="1">
      <c r="AC503" s="1"/>
    </row>
    <row r="504" spans="29:29" ht="15.75" customHeight="1">
      <c r="AC504" s="1"/>
    </row>
    <row r="505" spans="29:29" ht="15.75" customHeight="1">
      <c r="AC505" s="1"/>
    </row>
    <row r="506" spans="29:29" ht="15.75" customHeight="1">
      <c r="AC506" s="1"/>
    </row>
    <row r="507" spans="29:29" ht="15.75" customHeight="1">
      <c r="AC507" s="1"/>
    </row>
    <row r="508" spans="29:29" ht="15.75" customHeight="1">
      <c r="AC508" s="1"/>
    </row>
    <row r="509" spans="29:29" ht="15.75" customHeight="1">
      <c r="AC509" s="1"/>
    </row>
    <row r="510" spans="29:29" ht="15.75" customHeight="1">
      <c r="AC510" s="1"/>
    </row>
    <row r="511" spans="29:29" ht="15.75" customHeight="1">
      <c r="AC511" s="1"/>
    </row>
    <row r="512" spans="29:29" ht="15.75" customHeight="1">
      <c r="AC512" s="1"/>
    </row>
    <row r="513" spans="29:29" ht="15.75" customHeight="1">
      <c r="AC513" s="1"/>
    </row>
    <row r="514" spans="29:29" ht="15.75" customHeight="1">
      <c r="AC514" s="1"/>
    </row>
    <row r="515" spans="29:29" ht="15.75" customHeight="1">
      <c r="AC515" s="1"/>
    </row>
    <row r="516" spans="29:29" ht="15.75" customHeight="1">
      <c r="AC516" s="1"/>
    </row>
    <row r="517" spans="29:29" ht="15.75" customHeight="1">
      <c r="AC517" s="1"/>
    </row>
    <row r="518" spans="29:29" ht="15.75" customHeight="1">
      <c r="AC518" s="1"/>
    </row>
    <row r="519" spans="29:29" ht="15.75" customHeight="1">
      <c r="AC519" s="1"/>
    </row>
    <row r="520" spans="29:29" ht="15.75" customHeight="1">
      <c r="AC520" s="1"/>
    </row>
    <row r="521" spans="29:29" ht="15.75" customHeight="1">
      <c r="AC521" s="1"/>
    </row>
    <row r="522" spans="29:29" ht="15.75" customHeight="1">
      <c r="AC522" s="1"/>
    </row>
    <row r="523" spans="29:29" ht="15.75" customHeight="1">
      <c r="AC523" s="1"/>
    </row>
    <row r="524" spans="29:29" ht="15.75" customHeight="1">
      <c r="AC524" s="1"/>
    </row>
    <row r="525" spans="29:29" ht="15.75" customHeight="1">
      <c r="AC525" s="1"/>
    </row>
    <row r="526" spans="29:29" ht="15.75" customHeight="1">
      <c r="AC526" s="1"/>
    </row>
    <row r="527" spans="29:29" ht="15.75" customHeight="1">
      <c r="AC527" s="1"/>
    </row>
    <row r="528" spans="29:29" ht="15.75" customHeight="1">
      <c r="AC528" s="1"/>
    </row>
    <row r="529" spans="29:29" ht="15.75" customHeight="1">
      <c r="AC529" s="1"/>
    </row>
    <row r="530" spans="29:29" ht="15.75" customHeight="1">
      <c r="AC530" s="1"/>
    </row>
    <row r="531" spans="29:29" ht="15.75" customHeight="1">
      <c r="AC531" s="1"/>
    </row>
    <row r="532" spans="29:29" ht="15.75" customHeight="1">
      <c r="AC532" s="1"/>
    </row>
    <row r="533" spans="29:29" ht="15.75" customHeight="1">
      <c r="AC533" s="1"/>
    </row>
    <row r="534" spans="29:29" ht="15.75" customHeight="1">
      <c r="AC534" s="1"/>
    </row>
    <row r="535" spans="29:29" ht="15.75" customHeight="1">
      <c r="AC535" s="1"/>
    </row>
    <row r="536" spans="29:29" ht="15.75" customHeight="1">
      <c r="AC536" s="1"/>
    </row>
    <row r="537" spans="29:29" ht="15.75" customHeight="1">
      <c r="AC537" s="1"/>
    </row>
    <row r="538" spans="29:29" ht="15.75" customHeight="1">
      <c r="AC538" s="1"/>
    </row>
    <row r="539" spans="29:29" ht="15.75" customHeight="1">
      <c r="AC539" s="1"/>
    </row>
    <row r="540" spans="29:29" ht="15.75" customHeight="1">
      <c r="AC540" s="1"/>
    </row>
    <row r="541" spans="29:29" ht="15.75" customHeight="1">
      <c r="AC541" s="1"/>
    </row>
    <row r="542" spans="29:29" ht="15.75" customHeight="1">
      <c r="AC542" s="1"/>
    </row>
    <row r="543" spans="29:29" ht="15.75" customHeight="1">
      <c r="AC543" s="1"/>
    </row>
    <row r="544" spans="29:29" ht="15.75" customHeight="1">
      <c r="AC544" s="1"/>
    </row>
    <row r="545" spans="29:29" ht="15.75" customHeight="1">
      <c r="AC545" s="1"/>
    </row>
    <row r="546" spans="29:29" ht="15.75" customHeight="1">
      <c r="AC546" s="1"/>
    </row>
    <row r="547" spans="29:29" ht="15.75" customHeight="1">
      <c r="AC547" s="1"/>
    </row>
    <row r="548" spans="29:29" ht="15.75" customHeight="1">
      <c r="AC548" s="1"/>
    </row>
    <row r="549" spans="29:29" ht="15.75" customHeight="1">
      <c r="AC549" s="1"/>
    </row>
    <row r="550" spans="29:29" ht="15.75" customHeight="1">
      <c r="AC550" s="1"/>
    </row>
    <row r="551" spans="29:29" ht="15.75" customHeight="1">
      <c r="AC551" s="1"/>
    </row>
    <row r="552" spans="29:29" ht="15.75" customHeight="1">
      <c r="AC552" s="1"/>
    </row>
    <row r="553" spans="29:29" ht="15.75" customHeight="1">
      <c r="AC553" s="1"/>
    </row>
    <row r="554" spans="29:29" ht="15.75" customHeight="1">
      <c r="AC554" s="1"/>
    </row>
    <row r="555" spans="29:29" ht="15.75" customHeight="1">
      <c r="AC555" s="1"/>
    </row>
    <row r="556" spans="29:29" ht="15.75" customHeight="1">
      <c r="AC556" s="1"/>
    </row>
    <row r="557" spans="29:29" ht="15.75" customHeight="1">
      <c r="AC557" s="1"/>
    </row>
    <row r="558" spans="29:29" ht="15.75" customHeight="1">
      <c r="AC558" s="1"/>
    </row>
    <row r="559" spans="29:29" ht="15.75" customHeight="1">
      <c r="AC559" s="1"/>
    </row>
    <row r="560" spans="29:29" ht="15.75" customHeight="1">
      <c r="AC560" s="1"/>
    </row>
    <row r="561" spans="29:29" ht="15.75" customHeight="1">
      <c r="AC561" s="1"/>
    </row>
    <row r="562" spans="29:29" ht="15.75" customHeight="1">
      <c r="AC562" s="1"/>
    </row>
    <row r="563" spans="29:29" ht="15.75" customHeight="1">
      <c r="AC563" s="1"/>
    </row>
    <row r="564" spans="29:29" ht="15.75" customHeight="1">
      <c r="AC564" s="1"/>
    </row>
    <row r="565" spans="29:29" ht="15.75" customHeight="1">
      <c r="AC565" s="1"/>
    </row>
    <row r="566" spans="29:29" ht="15.75" customHeight="1">
      <c r="AC566" s="1"/>
    </row>
    <row r="567" spans="29:29" ht="15.75" customHeight="1">
      <c r="AC567" s="1"/>
    </row>
    <row r="568" spans="29:29" ht="15.75" customHeight="1">
      <c r="AC568" s="1"/>
    </row>
    <row r="569" spans="29:29" ht="15.75" customHeight="1">
      <c r="AC569" s="1"/>
    </row>
    <row r="570" spans="29:29" ht="15.75" customHeight="1">
      <c r="AC570" s="1"/>
    </row>
    <row r="571" spans="29:29" ht="15.75" customHeight="1">
      <c r="AC571" s="1"/>
    </row>
    <row r="572" spans="29:29" ht="15.75" customHeight="1">
      <c r="AC572" s="1"/>
    </row>
    <row r="573" spans="29:29" ht="15.75" customHeight="1">
      <c r="AC573" s="1"/>
    </row>
    <row r="574" spans="29:29" ht="15.75" customHeight="1">
      <c r="AC574" s="1"/>
    </row>
    <row r="575" spans="29:29" ht="15.75" customHeight="1">
      <c r="AC575" s="1"/>
    </row>
    <row r="576" spans="29:29" ht="15.75" customHeight="1">
      <c r="AC576" s="1"/>
    </row>
    <row r="577" spans="29:29" ht="15.75" customHeight="1">
      <c r="AC577" s="1"/>
    </row>
    <row r="578" spans="29:29" ht="15.75" customHeight="1">
      <c r="AC578" s="1"/>
    </row>
    <row r="579" spans="29:29" ht="15.75" customHeight="1">
      <c r="AC579" s="1"/>
    </row>
    <row r="580" spans="29:29" ht="15.75" customHeight="1">
      <c r="AC580" s="1"/>
    </row>
    <row r="581" spans="29:29" ht="15.75" customHeight="1">
      <c r="AC581" s="1"/>
    </row>
    <row r="582" spans="29:29" ht="15.75" customHeight="1">
      <c r="AC582" s="1"/>
    </row>
    <row r="583" spans="29:29" ht="15.75" customHeight="1">
      <c r="AC583" s="1"/>
    </row>
    <row r="584" spans="29:29" ht="15.75" customHeight="1">
      <c r="AC584" s="1"/>
    </row>
    <row r="585" spans="29:29" ht="15.75" customHeight="1">
      <c r="AC585" s="1"/>
    </row>
    <row r="586" spans="29:29" ht="15.75" customHeight="1">
      <c r="AC586" s="1"/>
    </row>
    <row r="587" spans="29:29" ht="15.75" customHeight="1">
      <c r="AC587" s="1"/>
    </row>
    <row r="588" spans="29:29" ht="15.75" customHeight="1">
      <c r="AC588" s="1"/>
    </row>
    <row r="589" spans="29:29" ht="15.75" customHeight="1">
      <c r="AC589" s="1"/>
    </row>
    <row r="590" spans="29:29" ht="15.75" customHeight="1">
      <c r="AC590" s="1"/>
    </row>
    <row r="591" spans="29:29" ht="15.75" customHeight="1">
      <c r="AC591" s="1"/>
    </row>
    <row r="592" spans="29:29" ht="15.75" customHeight="1">
      <c r="AC592" s="1"/>
    </row>
    <row r="593" spans="29:29" ht="15.75" customHeight="1">
      <c r="AC593" s="1"/>
    </row>
    <row r="594" spans="29:29" ht="15.75" customHeight="1">
      <c r="AC594" s="1"/>
    </row>
    <row r="595" spans="29:29" ht="15.75" customHeight="1">
      <c r="AC595" s="1"/>
    </row>
    <row r="596" spans="29:29" ht="15.75" customHeight="1">
      <c r="AC596" s="1"/>
    </row>
    <row r="597" spans="29:29" ht="15.75" customHeight="1">
      <c r="AC597" s="1"/>
    </row>
    <row r="598" spans="29:29" ht="15.75" customHeight="1">
      <c r="AC598" s="1"/>
    </row>
    <row r="599" spans="29:29" ht="15.75" customHeight="1">
      <c r="AC599" s="1"/>
    </row>
    <row r="600" spans="29:29" ht="15.75" customHeight="1">
      <c r="AC600" s="1"/>
    </row>
    <row r="601" spans="29:29" ht="15.75" customHeight="1">
      <c r="AC601" s="1"/>
    </row>
    <row r="602" spans="29:29" ht="15.75" customHeight="1">
      <c r="AC602" s="1"/>
    </row>
    <row r="603" spans="29:29" ht="15.75" customHeight="1">
      <c r="AC603" s="1"/>
    </row>
    <row r="604" spans="29:29" ht="15.75" customHeight="1">
      <c r="AC604" s="1"/>
    </row>
    <row r="605" spans="29:29" ht="15.75" customHeight="1">
      <c r="AC605" s="1"/>
    </row>
    <row r="606" spans="29:29" ht="15.75" customHeight="1">
      <c r="AC606" s="1"/>
    </row>
    <row r="607" spans="29:29" ht="15.75" customHeight="1">
      <c r="AC607" s="1"/>
    </row>
    <row r="608" spans="29:29" ht="15.75" customHeight="1">
      <c r="AC608" s="1"/>
    </row>
    <row r="609" spans="29:29" ht="15.75" customHeight="1">
      <c r="AC609" s="1"/>
    </row>
    <row r="610" spans="29:29" ht="15.75" customHeight="1">
      <c r="AC610" s="1"/>
    </row>
    <row r="611" spans="29:29" ht="15.75" customHeight="1">
      <c r="AC611" s="1"/>
    </row>
    <row r="612" spans="29:29" ht="15.75" customHeight="1">
      <c r="AC612" s="1"/>
    </row>
    <row r="613" spans="29:29" ht="15.75" customHeight="1">
      <c r="AC613" s="1"/>
    </row>
    <row r="614" spans="29:29" ht="15.75" customHeight="1">
      <c r="AC614" s="1"/>
    </row>
    <row r="615" spans="29:29" ht="15.75" customHeight="1">
      <c r="AC615" s="1"/>
    </row>
    <row r="616" spans="29:29" ht="15.75" customHeight="1">
      <c r="AC616" s="1"/>
    </row>
    <row r="617" spans="29:29" ht="15.75" customHeight="1">
      <c r="AC617" s="1"/>
    </row>
    <row r="618" spans="29:29" ht="15.75" customHeight="1">
      <c r="AC618" s="1"/>
    </row>
    <row r="619" spans="29:29" ht="15.75" customHeight="1">
      <c r="AC619" s="1"/>
    </row>
    <row r="620" spans="29:29" ht="15.75" customHeight="1">
      <c r="AC620" s="1"/>
    </row>
    <row r="621" spans="29:29" ht="15.75" customHeight="1">
      <c r="AC621" s="1"/>
    </row>
    <row r="622" spans="29:29" ht="15.75" customHeight="1">
      <c r="AC622" s="1"/>
    </row>
    <row r="623" spans="29:29" ht="15.75" customHeight="1">
      <c r="AC623" s="1"/>
    </row>
    <row r="624" spans="29:29" ht="15.75" customHeight="1">
      <c r="AC624" s="1"/>
    </row>
    <row r="625" spans="29:29" ht="15.75" customHeight="1">
      <c r="AC625" s="1"/>
    </row>
    <row r="626" spans="29:29" ht="15.75" customHeight="1">
      <c r="AC626" s="1"/>
    </row>
    <row r="627" spans="29:29" ht="15.75" customHeight="1">
      <c r="AC627" s="1"/>
    </row>
    <row r="628" spans="29:29" ht="15.75" customHeight="1">
      <c r="AC628" s="1"/>
    </row>
    <row r="629" spans="29:29" ht="15.75" customHeight="1">
      <c r="AC629" s="1"/>
    </row>
    <row r="630" spans="29:29" ht="15.75" customHeight="1">
      <c r="AC630" s="1"/>
    </row>
    <row r="631" spans="29:29" ht="15.75" customHeight="1">
      <c r="AC631" s="1"/>
    </row>
    <row r="632" spans="29:29" ht="15.75" customHeight="1">
      <c r="AC632" s="1"/>
    </row>
    <row r="633" spans="29:29" ht="15.75" customHeight="1">
      <c r="AC633" s="1"/>
    </row>
    <row r="634" spans="29:29" ht="15.75" customHeight="1">
      <c r="AC634" s="1"/>
    </row>
    <row r="635" spans="29:29" ht="15.75" customHeight="1">
      <c r="AC635" s="1"/>
    </row>
    <row r="636" spans="29:29" ht="15.75" customHeight="1">
      <c r="AC636" s="1"/>
    </row>
    <row r="637" spans="29:29" ht="15.75" customHeight="1">
      <c r="AC637" s="1"/>
    </row>
    <row r="638" spans="29:29" ht="15.75" customHeight="1">
      <c r="AC638" s="1"/>
    </row>
    <row r="639" spans="29:29" ht="15.75" customHeight="1">
      <c r="AC639" s="1"/>
    </row>
    <row r="640" spans="29:29" ht="15.75" customHeight="1">
      <c r="AC640" s="1"/>
    </row>
    <row r="641" spans="29:29" ht="15.75" customHeight="1">
      <c r="AC641" s="1"/>
    </row>
    <row r="642" spans="29:29" ht="15.75" customHeight="1">
      <c r="AC642" s="1"/>
    </row>
    <row r="643" spans="29:29" ht="15.75" customHeight="1">
      <c r="AC643" s="1"/>
    </row>
    <row r="644" spans="29:29" ht="15.75" customHeight="1">
      <c r="AC644" s="1"/>
    </row>
    <row r="645" spans="29:29" ht="15.75" customHeight="1">
      <c r="AC645" s="1"/>
    </row>
    <row r="646" spans="29:29" ht="15.75" customHeight="1">
      <c r="AC646" s="1"/>
    </row>
    <row r="647" spans="29:29" ht="15.75" customHeight="1">
      <c r="AC647" s="1"/>
    </row>
    <row r="648" spans="29:29" ht="15.75" customHeight="1">
      <c r="AC648" s="1"/>
    </row>
    <row r="649" spans="29:29" ht="15.75" customHeight="1">
      <c r="AC649" s="1"/>
    </row>
    <row r="650" spans="29:29" ht="15.75" customHeight="1">
      <c r="AC650" s="1"/>
    </row>
    <row r="651" spans="29:29" ht="15.75" customHeight="1">
      <c r="AC651" s="1"/>
    </row>
    <row r="652" spans="29:29" ht="15.75" customHeight="1">
      <c r="AC652" s="1"/>
    </row>
    <row r="653" spans="29:29" ht="15.75" customHeight="1">
      <c r="AC653" s="1"/>
    </row>
    <row r="654" spans="29:29" ht="15.75" customHeight="1">
      <c r="AC654" s="1"/>
    </row>
    <row r="655" spans="29:29" ht="15.75" customHeight="1">
      <c r="AC655" s="1"/>
    </row>
    <row r="656" spans="29:29" ht="15.75" customHeight="1">
      <c r="AC656" s="1"/>
    </row>
    <row r="657" spans="29:29" ht="15.75" customHeight="1">
      <c r="AC657" s="1"/>
    </row>
    <row r="658" spans="29:29" ht="15.75" customHeight="1">
      <c r="AC658" s="1"/>
    </row>
    <row r="659" spans="29:29" ht="15.75" customHeight="1">
      <c r="AC659" s="1"/>
    </row>
    <row r="660" spans="29:29" ht="15.75" customHeight="1">
      <c r="AC660" s="1"/>
    </row>
    <row r="661" spans="29:29" ht="15.75" customHeight="1">
      <c r="AC661" s="1"/>
    </row>
    <row r="662" spans="29:29" ht="15.75" customHeight="1">
      <c r="AC662" s="1"/>
    </row>
    <row r="663" spans="29:29" ht="15.75" customHeight="1">
      <c r="AC663" s="1"/>
    </row>
    <row r="664" spans="29:29" ht="15.75" customHeight="1">
      <c r="AC664" s="1"/>
    </row>
    <row r="665" spans="29:29" ht="15.75" customHeight="1">
      <c r="AC665" s="1"/>
    </row>
    <row r="666" spans="29:29" ht="15.75" customHeight="1">
      <c r="AC666" s="1"/>
    </row>
    <row r="667" spans="29:29" ht="15.75" customHeight="1">
      <c r="AC667" s="1"/>
    </row>
    <row r="668" spans="29:29" ht="15.75" customHeight="1">
      <c r="AC668" s="1"/>
    </row>
    <row r="669" spans="29:29" ht="15.75" customHeight="1">
      <c r="AC669" s="1"/>
    </row>
    <row r="670" spans="29:29" ht="15.75" customHeight="1">
      <c r="AC670" s="1"/>
    </row>
    <row r="671" spans="29:29" ht="15.75" customHeight="1">
      <c r="AC671" s="1"/>
    </row>
    <row r="672" spans="29:29" ht="15.75" customHeight="1">
      <c r="AC672" s="1"/>
    </row>
    <row r="673" spans="29:29" ht="15.75" customHeight="1">
      <c r="AC673" s="1"/>
    </row>
    <row r="674" spans="29:29" ht="15.75" customHeight="1">
      <c r="AC674" s="1"/>
    </row>
    <row r="675" spans="29:29" ht="15.75" customHeight="1">
      <c r="AC675" s="1"/>
    </row>
    <row r="676" spans="29:29" ht="15.75" customHeight="1">
      <c r="AC676" s="1"/>
    </row>
    <row r="677" spans="29:29" ht="15.75" customHeight="1">
      <c r="AC677" s="1"/>
    </row>
    <row r="678" spans="29:29" ht="15.75" customHeight="1">
      <c r="AC678" s="1"/>
    </row>
    <row r="679" spans="29:29" ht="15.75" customHeight="1">
      <c r="AC679" s="1"/>
    </row>
    <row r="680" spans="29:29" ht="15.75" customHeight="1">
      <c r="AC680" s="1"/>
    </row>
    <row r="681" spans="29:29" ht="15.75" customHeight="1">
      <c r="AC681" s="1"/>
    </row>
    <row r="682" spans="29:29" ht="15.75" customHeight="1">
      <c r="AC682" s="1"/>
    </row>
    <row r="683" spans="29:29" ht="15.75" customHeight="1">
      <c r="AC683" s="1"/>
    </row>
    <row r="684" spans="29:29" ht="15.75" customHeight="1">
      <c r="AC684" s="1"/>
    </row>
    <row r="685" spans="29:29" ht="15.75" customHeight="1">
      <c r="AC685" s="1"/>
    </row>
    <row r="686" spans="29:29" ht="15.75" customHeight="1">
      <c r="AC686" s="1"/>
    </row>
    <row r="687" spans="29:29" ht="15.75" customHeight="1">
      <c r="AC687" s="1"/>
    </row>
    <row r="688" spans="29:29" ht="15.75" customHeight="1">
      <c r="AC688" s="1"/>
    </row>
    <row r="689" spans="29:29" ht="15.75" customHeight="1">
      <c r="AC689" s="1"/>
    </row>
    <row r="690" spans="29:29" ht="15.75" customHeight="1">
      <c r="AC690" s="1"/>
    </row>
    <row r="691" spans="29:29" ht="15.75" customHeight="1">
      <c r="AC691" s="1"/>
    </row>
    <row r="692" spans="29:29" ht="15.75" customHeight="1">
      <c r="AC692" s="1"/>
    </row>
    <row r="693" spans="29:29" ht="15.75" customHeight="1">
      <c r="AC693" s="1"/>
    </row>
    <row r="694" spans="29:29" ht="15.75" customHeight="1">
      <c r="AC694" s="1"/>
    </row>
    <row r="695" spans="29:29" ht="15.75" customHeight="1">
      <c r="AC695" s="1"/>
    </row>
    <row r="696" spans="29:29" ht="15.75" customHeight="1">
      <c r="AC696" s="1"/>
    </row>
    <row r="697" spans="29:29" ht="15.75" customHeight="1">
      <c r="AC697" s="1"/>
    </row>
    <row r="698" spans="29:29" ht="15.75" customHeight="1">
      <c r="AC698" s="1"/>
    </row>
    <row r="699" spans="29:29" ht="15.75" customHeight="1">
      <c r="AC699" s="1"/>
    </row>
    <row r="700" spans="29:29" ht="15.75" customHeight="1">
      <c r="AC700" s="1"/>
    </row>
    <row r="701" spans="29:29" ht="15.75" customHeight="1">
      <c r="AC701" s="1"/>
    </row>
    <row r="702" spans="29:29" ht="15.75" customHeight="1">
      <c r="AC702" s="1"/>
    </row>
    <row r="703" spans="29:29" ht="15.75" customHeight="1">
      <c r="AC703" s="1"/>
    </row>
    <row r="704" spans="29:29" ht="15.75" customHeight="1">
      <c r="AC704" s="1"/>
    </row>
    <row r="705" spans="29:29" ht="15.75" customHeight="1">
      <c r="AC705" s="1"/>
    </row>
    <row r="706" spans="29:29" ht="15.75" customHeight="1">
      <c r="AC706" s="1"/>
    </row>
    <row r="707" spans="29:29" ht="15.75" customHeight="1">
      <c r="AC707" s="1"/>
    </row>
    <row r="708" spans="29:29" ht="15.75" customHeight="1">
      <c r="AC708" s="1"/>
    </row>
    <row r="709" spans="29:29" ht="15.75" customHeight="1">
      <c r="AC709" s="1"/>
    </row>
    <row r="710" spans="29:29" ht="15.75" customHeight="1">
      <c r="AC710" s="1"/>
    </row>
    <row r="711" spans="29:29" ht="15.75" customHeight="1">
      <c r="AC711" s="1"/>
    </row>
    <row r="712" spans="29:29" ht="15.75" customHeight="1">
      <c r="AC712" s="1"/>
    </row>
    <row r="713" spans="29:29" ht="15.75" customHeight="1">
      <c r="AC713" s="1"/>
    </row>
    <row r="714" spans="29:29" ht="15.75" customHeight="1">
      <c r="AC714" s="1"/>
    </row>
    <row r="715" spans="29:29" ht="15.75" customHeight="1">
      <c r="AC715" s="1"/>
    </row>
    <row r="716" spans="29:29" ht="15.75" customHeight="1">
      <c r="AC716" s="1"/>
    </row>
    <row r="717" spans="29:29" ht="15.75" customHeight="1">
      <c r="AC717" s="1"/>
    </row>
    <row r="718" spans="29:29" ht="15.75" customHeight="1">
      <c r="AC718" s="1"/>
    </row>
    <row r="719" spans="29:29" ht="15.75" customHeight="1">
      <c r="AC719" s="1"/>
    </row>
    <row r="720" spans="29:29" ht="15.75" customHeight="1">
      <c r="AC720" s="1"/>
    </row>
    <row r="721" spans="29:29" ht="15.75" customHeight="1">
      <c r="AC721" s="1"/>
    </row>
    <row r="722" spans="29:29" ht="15.75" customHeight="1">
      <c r="AC722" s="1"/>
    </row>
    <row r="723" spans="29:29" ht="15.75" customHeight="1">
      <c r="AC723" s="1"/>
    </row>
    <row r="724" spans="29:29" ht="15.75" customHeight="1">
      <c r="AC724" s="1"/>
    </row>
    <row r="725" spans="29:29" ht="15.75" customHeight="1">
      <c r="AC725" s="1"/>
    </row>
    <row r="726" spans="29:29" ht="15.75" customHeight="1">
      <c r="AC726" s="1"/>
    </row>
    <row r="727" spans="29:29" ht="15.75" customHeight="1">
      <c r="AC727" s="1"/>
    </row>
    <row r="728" spans="29:29" ht="15.75" customHeight="1">
      <c r="AC728" s="1"/>
    </row>
    <row r="729" spans="29:29" ht="15.75" customHeight="1">
      <c r="AC729" s="1"/>
    </row>
    <row r="730" spans="29:29" ht="15.75" customHeight="1">
      <c r="AC730" s="1"/>
    </row>
    <row r="731" spans="29:29" ht="15.75" customHeight="1">
      <c r="AC731" s="1"/>
    </row>
    <row r="732" spans="29:29" ht="15.75" customHeight="1">
      <c r="AC732" s="1"/>
    </row>
    <row r="733" spans="29:29" ht="15.75" customHeight="1">
      <c r="AC733" s="1"/>
    </row>
    <row r="734" spans="29:29" ht="15.75" customHeight="1">
      <c r="AC734" s="1"/>
    </row>
    <row r="735" spans="29:29" ht="15.75" customHeight="1">
      <c r="AC735" s="1"/>
    </row>
    <row r="736" spans="29:29" ht="15.75" customHeight="1">
      <c r="AC736" s="1"/>
    </row>
    <row r="737" spans="29:29" ht="15.75" customHeight="1">
      <c r="AC737" s="1"/>
    </row>
    <row r="738" spans="29:29" ht="15.75" customHeight="1">
      <c r="AC738" s="1"/>
    </row>
    <row r="739" spans="29:29" ht="15.75" customHeight="1">
      <c r="AC739" s="1"/>
    </row>
    <row r="740" spans="29:29" ht="15.75" customHeight="1">
      <c r="AC740" s="1"/>
    </row>
    <row r="741" spans="29:29" ht="15.75" customHeight="1">
      <c r="AC741" s="1"/>
    </row>
    <row r="742" spans="29:29" ht="15.75" customHeight="1">
      <c r="AC742" s="1"/>
    </row>
    <row r="743" spans="29:29" ht="15.75" customHeight="1">
      <c r="AC743" s="1"/>
    </row>
    <row r="744" spans="29:29" ht="15.75" customHeight="1">
      <c r="AC744" s="1"/>
    </row>
    <row r="745" spans="29:29" ht="15.75" customHeight="1">
      <c r="AC745" s="1"/>
    </row>
    <row r="746" spans="29:29" ht="15.75" customHeight="1">
      <c r="AC746" s="1"/>
    </row>
    <row r="747" spans="29:29" ht="15.75" customHeight="1">
      <c r="AC747" s="1"/>
    </row>
    <row r="748" spans="29:29" ht="15.75" customHeight="1">
      <c r="AC748" s="1"/>
    </row>
    <row r="749" spans="29:29" ht="15.75" customHeight="1">
      <c r="AC749" s="1"/>
    </row>
    <row r="750" spans="29:29" ht="15.75" customHeight="1">
      <c r="AC750" s="1"/>
    </row>
    <row r="751" spans="29:29" ht="15.75" customHeight="1">
      <c r="AC751" s="1"/>
    </row>
    <row r="752" spans="29:29" ht="15.75" customHeight="1">
      <c r="AC752" s="1"/>
    </row>
    <row r="753" spans="29:29" ht="15.75" customHeight="1">
      <c r="AC753" s="1"/>
    </row>
    <row r="754" spans="29:29" ht="15.75" customHeight="1">
      <c r="AC754" s="1"/>
    </row>
    <row r="755" spans="29:29" ht="15.75" customHeight="1">
      <c r="AC755" s="1"/>
    </row>
    <row r="756" spans="29:29" ht="15.75" customHeight="1">
      <c r="AC756" s="1"/>
    </row>
    <row r="757" spans="29:29" ht="15.75" customHeight="1">
      <c r="AC757" s="1"/>
    </row>
    <row r="758" spans="29:29" ht="15.75" customHeight="1">
      <c r="AC758" s="1"/>
    </row>
    <row r="759" spans="29:29" ht="15.75" customHeight="1">
      <c r="AC759" s="1"/>
    </row>
    <row r="760" spans="29:29" ht="15.75" customHeight="1">
      <c r="AC760" s="1"/>
    </row>
    <row r="761" spans="29:29" ht="15.75" customHeight="1">
      <c r="AC761" s="1"/>
    </row>
    <row r="762" spans="29:29" ht="15.75" customHeight="1">
      <c r="AC762" s="1"/>
    </row>
    <row r="763" spans="29:29" ht="15.75" customHeight="1">
      <c r="AC763" s="1"/>
    </row>
    <row r="764" spans="29:29" ht="15.75" customHeight="1">
      <c r="AC764" s="1"/>
    </row>
    <row r="765" spans="29:29" ht="15.75" customHeight="1">
      <c r="AC765" s="1"/>
    </row>
    <row r="766" spans="29:29" ht="15.75" customHeight="1">
      <c r="AC766" s="1"/>
    </row>
    <row r="767" spans="29:29" ht="15.75" customHeight="1">
      <c r="AC767" s="1"/>
    </row>
    <row r="768" spans="29:29" ht="15.75" customHeight="1">
      <c r="AC768" s="1"/>
    </row>
    <row r="769" spans="29:29" ht="15.75" customHeight="1">
      <c r="AC769" s="1"/>
    </row>
    <row r="770" spans="29:29" ht="15.75" customHeight="1">
      <c r="AC770" s="1"/>
    </row>
    <row r="771" spans="29:29" ht="15.75" customHeight="1">
      <c r="AC771" s="1"/>
    </row>
    <row r="772" spans="29:29" ht="15.75" customHeight="1">
      <c r="AC772" s="1"/>
    </row>
    <row r="773" spans="29:29" ht="15.75" customHeight="1">
      <c r="AC773" s="1"/>
    </row>
    <row r="774" spans="29:29" ht="15.75" customHeight="1">
      <c r="AC774" s="1"/>
    </row>
    <row r="775" spans="29:29" ht="15.75" customHeight="1">
      <c r="AC775" s="1"/>
    </row>
    <row r="776" spans="29:29" ht="15.75" customHeight="1">
      <c r="AC776" s="1"/>
    </row>
    <row r="777" spans="29:29" ht="15.75" customHeight="1">
      <c r="AC777" s="1"/>
    </row>
    <row r="778" spans="29:29" ht="15.75" customHeight="1">
      <c r="AC778" s="1"/>
    </row>
    <row r="779" spans="29:29" ht="15.75" customHeight="1">
      <c r="AC779" s="1"/>
    </row>
    <row r="780" spans="29:29" ht="15.75" customHeight="1">
      <c r="AC780" s="1"/>
    </row>
    <row r="781" spans="29:29" ht="15.75" customHeight="1">
      <c r="AC781" s="1"/>
    </row>
    <row r="782" spans="29:29" ht="15.75" customHeight="1">
      <c r="AC782" s="1"/>
    </row>
    <row r="783" spans="29:29" ht="15.75" customHeight="1">
      <c r="AC783" s="1"/>
    </row>
    <row r="784" spans="29:29" ht="15.75" customHeight="1">
      <c r="AC784" s="1"/>
    </row>
    <row r="785" spans="29:29" ht="15.75" customHeight="1">
      <c r="AC785" s="1"/>
    </row>
    <row r="786" spans="29:29" ht="15.75" customHeight="1">
      <c r="AC786" s="1"/>
    </row>
    <row r="787" spans="29:29" ht="15.75" customHeight="1">
      <c r="AC787" s="1"/>
    </row>
    <row r="788" spans="29:29" ht="15.75" customHeight="1">
      <c r="AC788" s="1"/>
    </row>
    <row r="789" spans="29:29" ht="15.75" customHeight="1">
      <c r="AC789" s="1"/>
    </row>
    <row r="790" spans="29:29" ht="15.75" customHeight="1">
      <c r="AC790" s="1"/>
    </row>
    <row r="791" spans="29:29" ht="15.75" customHeight="1">
      <c r="AC791" s="1"/>
    </row>
    <row r="792" spans="29:29" ht="15.75" customHeight="1">
      <c r="AC792" s="1"/>
    </row>
    <row r="793" spans="29:29" ht="15.75" customHeight="1">
      <c r="AC793" s="1"/>
    </row>
    <row r="794" spans="29:29" ht="15.75" customHeight="1">
      <c r="AC794" s="1"/>
    </row>
    <row r="795" spans="29:29" ht="15.75" customHeight="1">
      <c r="AC795" s="1"/>
    </row>
    <row r="796" spans="29:29" ht="15.75" customHeight="1">
      <c r="AC796" s="1"/>
    </row>
    <row r="797" spans="29:29" ht="15.75" customHeight="1">
      <c r="AC797" s="1"/>
    </row>
    <row r="798" spans="29:29" ht="15.75" customHeight="1">
      <c r="AC798" s="1"/>
    </row>
    <row r="799" spans="29:29" ht="15.75" customHeight="1">
      <c r="AC799" s="1"/>
    </row>
    <row r="800" spans="29:29" ht="15.75" customHeight="1">
      <c r="AC800" s="1"/>
    </row>
    <row r="801" spans="29:29" ht="15.75" customHeight="1">
      <c r="AC801" s="1"/>
    </row>
    <row r="802" spans="29:29" ht="15.75" customHeight="1">
      <c r="AC802" s="1"/>
    </row>
    <row r="803" spans="29:29" ht="15.75" customHeight="1">
      <c r="AC803" s="1"/>
    </row>
    <row r="804" spans="29:29" ht="15.75" customHeight="1">
      <c r="AC804" s="1"/>
    </row>
    <row r="805" spans="29:29" ht="15.75" customHeight="1">
      <c r="AC805" s="1"/>
    </row>
    <row r="806" spans="29:29" ht="15.75" customHeight="1">
      <c r="AC806" s="1"/>
    </row>
    <row r="807" spans="29:29" ht="15.75" customHeight="1">
      <c r="AC807" s="1"/>
    </row>
    <row r="808" spans="29:29" ht="15.75" customHeight="1">
      <c r="AC808" s="1"/>
    </row>
    <row r="809" spans="29:29" ht="15.75" customHeight="1">
      <c r="AC809" s="1"/>
    </row>
    <row r="810" spans="29:29" ht="15.75" customHeight="1">
      <c r="AC810" s="1"/>
    </row>
    <row r="811" spans="29:29" ht="15.75" customHeight="1">
      <c r="AC811" s="1"/>
    </row>
    <row r="812" spans="29:29" ht="15.75" customHeight="1">
      <c r="AC812" s="1"/>
    </row>
    <row r="813" spans="29:29" ht="15.75" customHeight="1">
      <c r="AC813" s="1"/>
    </row>
    <row r="814" spans="29:29" ht="15.75" customHeight="1">
      <c r="AC814" s="1"/>
    </row>
    <row r="815" spans="29:29" ht="15.75" customHeight="1">
      <c r="AC815" s="1"/>
    </row>
    <row r="816" spans="29:29" ht="15.75" customHeight="1">
      <c r="AC816" s="1"/>
    </row>
    <row r="817" spans="29:29" ht="15.75" customHeight="1">
      <c r="AC817" s="1"/>
    </row>
    <row r="818" spans="29:29" ht="15.75" customHeight="1">
      <c r="AC818" s="1"/>
    </row>
    <row r="819" spans="29:29" ht="15.75" customHeight="1">
      <c r="AC819" s="1"/>
    </row>
    <row r="820" spans="29:29" ht="15.75" customHeight="1">
      <c r="AC820" s="1"/>
    </row>
    <row r="821" spans="29:29" ht="15.75" customHeight="1">
      <c r="AC821" s="1"/>
    </row>
    <row r="822" spans="29:29" ht="15.75" customHeight="1">
      <c r="AC822" s="1"/>
    </row>
    <row r="823" spans="29:29" ht="15.75" customHeight="1">
      <c r="AC823" s="1"/>
    </row>
    <row r="824" spans="29:29" ht="15.75" customHeight="1">
      <c r="AC824" s="1"/>
    </row>
    <row r="825" spans="29:29" ht="15.75" customHeight="1">
      <c r="AC825" s="1"/>
    </row>
    <row r="826" spans="29:29" ht="15.75" customHeight="1">
      <c r="AC826" s="1"/>
    </row>
    <row r="827" spans="29:29" ht="15.75" customHeight="1">
      <c r="AC827" s="1"/>
    </row>
    <row r="828" spans="29:29" ht="15.75" customHeight="1">
      <c r="AC828" s="1"/>
    </row>
    <row r="829" spans="29:29" ht="15.75" customHeight="1">
      <c r="AC829" s="1"/>
    </row>
    <row r="830" spans="29:29" ht="15.75" customHeight="1">
      <c r="AC830" s="1"/>
    </row>
    <row r="831" spans="29:29" ht="15.75" customHeight="1">
      <c r="AC831" s="1"/>
    </row>
    <row r="832" spans="29:29" ht="15.75" customHeight="1">
      <c r="AC832" s="1"/>
    </row>
    <row r="833" spans="29:29" ht="15.75" customHeight="1">
      <c r="AC833" s="1"/>
    </row>
    <row r="834" spans="29:29" ht="15.75" customHeight="1">
      <c r="AC834" s="1"/>
    </row>
    <row r="835" spans="29:29" ht="15.75" customHeight="1">
      <c r="AC835" s="1"/>
    </row>
    <row r="836" spans="29:29" ht="15.75" customHeight="1">
      <c r="AC836" s="1"/>
    </row>
    <row r="837" spans="29:29" ht="15.75" customHeight="1">
      <c r="AC837" s="1"/>
    </row>
    <row r="838" spans="29:29" ht="15.75" customHeight="1">
      <c r="AC838" s="1"/>
    </row>
    <row r="839" spans="29:29" ht="15.75" customHeight="1">
      <c r="AC839" s="1"/>
    </row>
    <row r="840" spans="29:29" ht="15.75" customHeight="1">
      <c r="AC840" s="1"/>
    </row>
    <row r="841" spans="29:29" ht="15.75" customHeight="1">
      <c r="AC841" s="1"/>
    </row>
    <row r="842" spans="29:29" ht="15.75" customHeight="1">
      <c r="AC842" s="1"/>
    </row>
    <row r="843" spans="29:29" ht="15.75" customHeight="1">
      <c r="AC843" s="1"/>
    </row>
    <row r="844" spans="29:29" ht="15.75" customHeight="1">
      <c r="AC844" s="1"/>
    </row>
    <row r="845" spans="29:29" ht="15.75" customHeight="1">
      <c r="AC845" s="1"/>
    </row>
    <row r="846" spans="29:29" ht="15.75" customHeight="1">
      <c r="AC846" s="1"/>
    </row>
    <row r="847" spans="29:29" ht="15.75" customHeight="1">
      <c r="AC847" s="1"/>
    </row>
    <row r="848" spans="29:29" ht="15.75" customHeight="1">
      <c r="AC848" s="1"/>
    </row>
    <row r="849" spans="29:29" ht="15.75" customHeight="1">
      <c r="AC849" s="1"/>
    </row>
    <row r="850" spans="29:29" ht="15.75" customHeight="1">
      <c r="AC850" s="1"/>
    </row>
    <row r="851" spans="29:29" ht="15.75" customHeight="1">
      <c r="AC851" s="1"/>
    </row>
    <row r="852" spans="29:29" ht="15.75" customHeight="1">
      <c r="AC852" s="1"/>
    </row>
    <row r="853" spans="29:29" ht="15.75" customHeight="1">
      <c r="AC853" s="1"/>
    </row>
    <row r="854" spans="29:29" ht="15.75" customHeight="1">
      <c r="AC854" s="1"/>
    </row>
    <row r="855" spans="29:29" ht="15.75" customHeight="1">
      <c r="AC855" s="1"/>
    </row>
    <row r="856" spans="29:29" ht="15.75" customHeight="1">
      <c r="AC856" s="1"/>
    </row>
    <row r="857" spans="29:29" ht="15.75" customHeight="1">
      <c r="AC857" s="1"/>
    </row>
    <row r="858" spans="29:29" ht="15.75" customHeight="1">
      <c r="AC858" s="1"/>
    </row>
    <row r="859" spans="29:29" ht="15.75" customHeight="1">
      <c r="AC859" s="1"/>
    </row>
    <row r="860" spans="29:29" ht="15.75" customHeight="1">
      <c r="AC860" s="1"/>
    </row>
    <row r="861" spans="29:29" ht="15.75" customHeight="1">
      <c r="AC861" s="1"/>
    </row>
    <row r="862" spans="29:29" ht="15.75" customHeight="1">
      <c r="AC862" s="1"/>
    </row>
    <row r="863" spans="29:29" ht="15.75" customHeight="1">
      <c r="AC863" s="1"/>
    </row>
    <row r="864" spans="29:29" ht="15.75" customHeight="1">
      <c r="AC864" s="1"/>
    </row>
    <row r="865" spans="29:29" ht="15.75" customHeight="1">
      <c r="AC865" s="1"/>
    </row>
    <row r="866" spans="29:29" ht="15.75" customHeight="1">
      <c r="AC866" s="1"/>
    </row>
    <row r="867" spans="29:29" ht="15.75" customHeight="1">
      <c r="AC867" s="1"/>
    </row>
    <row r="868" spans="29:29" ht="15.75" customHeight="1">
      <c r="AC868" s="1"/>
    </row>
    <row r="869" spans="29:29" ht="15.75" customHeight="1">
      <c r="AC869" s="1"/>
    </row>
    <row r="870" spans="29:29" ht="15.75" customHeight="1">
      <c r="AC870" s="1"/>
    </row>
    <row r="871" spans="29:29" ht="15.75" customHeight="1">
      <c r="AC871" s="1"/>
    </row>
    <row r="872" spans="29:29" ht="15.75" customHeight="1">
      <c r="AC872" s="1"/>
    </row>
    <row r="873" spans="29:29" ht="15.75" customHeight="1">
      <c r="AC873" s="1"/>
    </row>
    <row r="874" spans="29:29" ht="15.75" customHeight="1">
      <c r="AC874" s="1"/>
    </row>
    <row r="875" spans="29:29" ht="15.75" customHeight="1">
      <c r="AC875" s="1"/>
    </row>
    <row r="876" spans="29:29" ht="15.75" customHeight="1">
      <c r="AC876" s="1"/>
    </row>
    <row r="877" spans="29:29" ht="15.75" customHeight="1">
      <c r="AC877" s="1"/>
    </row>
    <row r="878" spans="29:29" ht="15.75" customHeight="1">
      <c r="AC878" s="1"/>
    </row>
    <row r="879" spans="29:29" ht="15.75" customHeight="1">
      <c r="AC879" s="1"/>
    </row>
    <row r="880" spans="29:29" ht="15.75" customHeight="1">
      <c r="AC880" s="1"/>
    </row>
    <row r="881" spans="29:29" ht="15.75" customHeight="1">
      <c r="AC881" s="1"/>
    </row>
    <row r="882" spans="29:29" ht="15.75" customHeight="1">
      <c r="AC882" s="1"/>
    </row>
    <row r="883" spans="29:29" ht="15.75" customHeight="1">
      <c r="AC883" s="1"/>
    </row>
    <row r="884" spans="29:29" ht="15.75" customHeight="1">
      <c r="AC884" s="1"/>
    </row>
    <row r="885" spans="29:29" ht="15.75" customHeight="1">
      <c r="AC885" s="1"/>
    </row>
    <row r="886" spans="29:29" ht="15.75" customHeight="1">
      <c r="AC886" s="1"/>
    </row>
    <row r="887" spans="29:29" ht="15.75" customHeight="1">
      <c r="AC887" s="1"/>
    </row>
    <row r="888" spans="29:29" ht="15.75" customHeight="1">
      <c r="AC888" s="1"/>
    </row>
    <row r="889" spans="29:29" ht="15.75" customHeight="1">
      <c r="AC889" s="1"/>
    </row>
    <row r="890" spans="29:29" ht="15.75" customHeight="1">
      <c r="AC890" s="1"/>
    </row>
    <row r="891" spans="29:29" ht="15.75" customHeight="1">
      <c r="AC891" s="1"/>
    </row>
    <row r="892" spans="29:29" ht="15.75" customHeight="1">
      <c r="AC892" s="1"/>
    </row>
    <row r="893" spans="29:29" ht="15.75" customHeight="1">
      <c r="AC893" s="1"/>
    </row>
    <row r="894" spans="29:29" ht="15.75" customHeight="1">
      <c r="AC894" s="1"/>
    </row>
    <row r="895" spans="29:29" ht="15.75" customHeight="1">
      <c r="AC895" s="1"/>
    </row>
    <row r="896" spans="29:29" ht="15.75" customHeight="1">
      <c r="AC896" s="1"/>
    </row>
    <row r="897" spans="29:29" ht="15.75" customHeight="1">
      <c r="AC897" s="1"/>
    </row>
    <row r="898" spans="29:29" ht="15.75" customHeight="1">
      <c r="AC898" s="1"/>
    </row>
    <row r="899" spans="29:29" ht="15.75" customHeight="1">
      <c r="AC899" s="1"/>
    </row>
    <row r="900" spans="29:29" ht="15.75" customHeight="1">
      <c r="AC900" s="1"/>
    </row>
    <row r="901" spans="29:29" ht="15.75" customHeight="1">
      <c r="AC901" s="1"/>
    </row>
    <row r="902" spans="29:29" ht="15.75" customHeight="1">
      <c r="AC902" s="1"/>
    </row>
    <row r="903" spans="29:29" ht="15.75" customHeight="1">
      <c r="AC903" s="1"/>
    </row>
    <row r="904" spans="29:29" ht="15.75" customHeight="1">
      <c r="AC904" s="1"/>
    </row>
    <row r="905" spans="29:29" ht="15.75" customHeight="1">
      <c r="AC905" s="1"/>
    </row>
    <row r="906" spans="29:29" ht="15.75" customHeight="1">
      <c r="AC906" s="1"/>
    </row>
    <row r="907" spans="29:29" ht="15.75" customHeight="1">
      <c r="AC907" s="1"/>
    </row>
    <row r="908" spans="29:29" ht="15.75" customHeight="1">
      <c r="AC908" s="1"/>
    </row>
    <row r="909" spans="29:29" ht="15.75" customHeight="1">
      <c r="AC909" s="1"/>
    </row>
    <row r="910" spans="29:29" ht="15.75" customHeight="1">
      <c r="AC910" s="1"/>
    </row>
    <row r="911" spans="29:29" ht="15.75" customHeight="1">
      <c r="AC911" s="1"/>
    </row>
    <row r="912" spans="29:29" ht="15.75" customHeight="1">
      <c r="AC912" s="1"/>
    </row>
    <row r="913" spans="29:29" ht="15.75" customHeight="1">
      <c r="AC913" s="1"/>
    </row>
    <row r="914" spans="29:29" ht="15.75" customHeight="1">
      <c r="AC914" s="1"/>
    </row>
    <row r="915" spans="29:29" ht="15.75" customHeight="1">
      <c r="AC915" s="1"/>
    </row>
    <row r="916" spans="29:29" ht="15.75" customHeight="1">
      <c r="AC916" s="1"/>
    </row>
    <row r="917" spans="29:29" ht="15.75" customHeight="1">
      <c r="AC917" s="1"/>
    </row>
    <row r="918" spans="29:29" ht="15.75" customHeight="1">
      <c r="AC918" s="1"/>
    </row>
    <row r="919" spans="29:29" ht="15.75" customHeight="1">
      <c r="AC919" s="1"/>
    </row>
    <row r="920" spans="29:29" ht="15.75" customHeight="1">
      <c r="AC920" s="1"/>
    </row>
    <row r="921" spans="29:29" ht="15.75" customHeight="1">
      <c r="AC921" s="1"/>
    </row>
    <row r="922" spans="29:29" ht="15.75" customHeight="1">
      <c r="AC922" s="1"/>
    </row>
    <row r="923" spans="29:29" ht="15.75" customHeight="1">
      <c r="AC923" s="1"/>
    </row>
    <row r="924" spans="29:29" ht="15.75" customHeight="1">
      <c r="AC924" s="1"/>
    </row>
    <row r="925" spans="29:29" ht="15.75" customHeight="1">
      <c r="AC925" s="1"/>
    </row>
    <row r="926" spans="29:29" ht="15.75" customHeight="1">
      <c r="AC926" s="1"/>
    </row>
    <row r="927" spans="29:29" ht="15.75" customHeight="1">
      <c r="AC927" s="1"/>
    </row>
    <row r="928" spans="29:29" ht="15.75" customHeight="1">
      <c r="AC928" s="1"/>
    </row>
    <row r="929" spans="29:29" ht="15.75" customHeight="1">
      <c r="AC929" s="1"/>
    </row>
    <row r="930" spans="29:29" ht="15.75" customHeight="1">
      <c r="AC930" s="1"/>
    </row>
    <row r="931" spans="29:29" ht="15.75" customHeight="1">
      <c r="AC931" s="1"/>
    </row>
    <row r="932" spans="29:29" ht="15.75" customHeight="1">
      <c r="AC932" s="1"/>
    </row>
    <row r="933" spans="29:29" ht="15.75" customHeight="1">
      <c r="AC933" s="1"/>
    </row>
    <row r="934" spans="29:29" ht="15.75" customHeight="1">
      <c r="AC934" s="1"/>
    </row>
    <row r="935" spans="29:29" ht="15.75" customHeight="1">
      <c r="AC935" s="1"/>
    </row>
    <row r="936" spans="29:29" ht="15.75" customHeight="1">
      <c r="AC936" s="1"/>
    </row>
    <row r="937" spans="29:29" ht="15.75" customHeight="1">
      <c r="AC937" s="1"/>
    </row>
    <row r="938" spans="29:29" ht="15.75" customHeight="1">
      <c r="AC938" s="1"/>
    </row>
    <row r="939" spans="29:29" ht="15.75" customHeight="1">
      <c r="AC939" s="1"/>
    </row>
    <row r="940" spans="29:29" ht="15.75" customHeight="1">
      <c r="AC940" s="1"/>
    </row>
    <row r="941" spans="29:29" ht="15.75" customHeight="1">
      <c r="AC941" s="1"/>
    </row>
    <row r="942" spans="29:29" ht="15.75" customHeight="1">
      <c r="AC942" s="1"/>
    </row>
    <row r="943" spans="29:29" ht="15.75" customHeight="1">
      <c r="AC943" s="1"/>
    </row>
    <row r="944" spans="29:29" ht="15.75" customHeight="1">
      <c r="AC944" s="1"/>
    </row>
    <row r="945" spans="29:29" ht="15.75" customHeight="1">
      <c r="AC945" s="1"/>
    </row>
    <row r="946" spans="29:29" ht="15.75" customHeight="1">
      <c r="AC946" s="1"/>
    </row>
    <row r="947" spans="29:29" ht="15.75" customHeight="1">
      <c r="AC947" s="1"/>
    </row>
    <row r="948" spans="29:29" ht="15.75" customHeight="1">
      <c r="AC948" s="1"/>
    </row>
    <row r="949" spans="29:29" ht="15.75" customHeight="1">
      <c r="AC949" s="1"/>
    </row>
    <row r="950" spans="29:29" ht="15.75" customHeight="1">
      <c r="AC950" s="1"/>
    </row>
    <row r="951" spans="29:29" ht="15.75" customHeight="1">
      <c r="AC951" s="1"/>
    </row>
    <row r="952" spans="29:29" ht="15.75" customHeight="1">
      <c r="AC952" s="1"/>
    </row>
    <row r="953" spans="29:29" ht="15.75" customHeight="1">
      <c r="AC953" s="1"/>
    </row>
    <row r="954" spans="29:29" ht="15.75" customHeight="1">
      <c r="AC954" s="1"/>
    </row>
    <row r="955" spans="29:29" ht="15.75" customHeight="1">
      <c r="AC955" s="1"/>
    </row>
    <row r="956" spans="29:29" ht="15.75" customHeight="1">
      <c r="AC956" s="1"/>
    </row>
    <row r="957" spans="29:29" ht="15.75" customHeight="1">
      <c r="AC957" s="1"/>
    </row>
    <row r="958" spans="29:29" ht="15.75" customHeight="1">
      <c r="AC958" s="1"/>
    </row>
    <row r="959" spans="29:29" ht="15.75" customHeight="1">
      <c r="AC959" s="1"/>
    </row>
    <row r="960" spans="29:29" ht="15.75" customHeight="1">
      <c r="AC960" s="1"/>
    </row>
    <row r="961" spans="29:29" ht="15.75" customHeight="1">
      <c r="AC961" s="1"/>
    </row>
    <row r="962" spans="29:29" ht="15.75" customHeight="1">
      <c r="AC962" s="1"/>
    </row>
    <row r="963" spans="29:29" ht="15.75" customHeight="1">
      <c r="AC963" s="1"/>
    </row>
    <row r="964" spans="29:29" ht="15.75" customHeight="1">
      <c r="AC964" s="1"/>
    </row>
    <row r="965" spans="29:29" ht="15.75" customHeight="1">
      <c r="AC965" s="1"/>
    </row>
    <row r="966" spans="29:29" ht="15.75" customHeight="1">
      <c r="AC966" s="1"/>
    </row>
    <row r="967" spans="29:29" ht="15.75" customHeight="1">
      <c r="AC967" s="1"/>
    </row>
    <row r="968" spans="29:29" ht="15.75" customHeight="1">
      <c r="AC968" s="1"/>
    </row>
    <row r="969" spans="29:29" ht="15.75" customHeight="1">
      <c r="AC969" s="1"/>
    </row>
    <row r="970" spans="29:29" ht="15.75" customHeight="1">
      <c r="AC970" s="1"/>
    </row>
    <row r="971" spans="29:29" ht="15.75" customHeight="1">
      <c r="AC971" s="1"/>
    </row>
    <row r="972" spans="29:29" ht="15.75" customHeight="1">
      <c r="AC972" s="1"/>
    </row>
    <row r="973" spans="29:29" ht="15.75" customHeight="1">
      <c r="AC973" s="1"/>
    </row>
    <row r="974" spans="29:29" ht="15.75" customHeight="1">
      <c r="AC974" s="1"/>
    </row>
    <row r="975" spans="29:29" ht="15.75" customHeight="1">
      <c r="AC975" s="1"/>
    </row>
    <row r="976" spans="29:29" ht="15.75" customHeight="1">
      <c r="AC976" s="1"/>
    </row>
    <row r="977" spans="29:29" ht="15.75" customHeight="1">
      <c r="AC977" s="1"/>
    </row>
    <row r="978" spans="29:29" ht="15.75" customHeight="1">
      <c r="AC978" s="1"/>
    </row>
    <row r="979" spans="29:29" ht="15.75" customHeight="1">
      <c r="AC979" s="1"/>
    </row>
    <row r="980" spans="29:29" ht="15.75" customHeight="1">
      <c r="AC980" s="1"/>
    </row>
    <row r="981" spans="29:29" ht="15.75" customHeight="1">
      <c r="AC981" s="1"/>
    </row>
    <row r="982" spans="29:29" ht="15.75" customHeight="1">
      <c r="AC982" s="1"/>
    </row>
    <row r="983" spans="29:29" ht="15.75" customHeight="1">
      <c r="AC983" s="1"/>
    </row>
    <row r="984" spans="29:29" ht="15.75" customHeight="1">
      <c r="AC984" s="1"/>
    </row>
    <row r="985" spans="29:29" ht="15.75" customHeight="1">
      <c r="AC985" s="1"/>
    </row>
    <row r="986" spans="29:29" ht="15.75" customHeight="1">
      <c r="AC986" s="1"/>
    </row>
    <row r="987" spans="29:29" ht="15.75" customHeight="1">
      <c r="AC987" s="1"/>
    </row>
    <row r="988" spans="29:29" ht="15.75" customHeight="1">
      <c r="AC988" s="1"/>
    </row>
    <row r="989" spans="29:29" ht="15.75" customHeight="1">
      <c r="AC989" s="1"/>
    </row>
    <row r="990" spans="29:29" ht="15.75" customHeight="1">
      <c r="AC990" s="1"/>
    </row>
    <row r="991" spans="29:29" ht="15.75" customHeight="1">
      <c r="AC991" s="1"/>
    </row>
    <row r="992" spans="29:29" ht="15.75" customHeight="1">
      <c r="AC992" s="1"/>
    </row>
    <row r="993" spans="29:29" ht="15.75" customHeight="1">
      <c r="AC993" s="1"/>
    </row>
    <row r="994" spans="29:29" ht="15.75" customHeight="1">
      <c r="AC994" s="1"/>
    </row>
    <row r="995" spans="29:29" ht="15.75" customHeight="1">
      <c r="AC995" s="1"/>
    </row>
    <row r="996" spans="29:29" ht="15.75" customHeight="1">
      <c r="AC996" s="1"/>
    </row>
    <row r="997" spans="29:29" ht="15.75" customHeight="1">
      <c r="AC997" s="1"/>
    </row>
    <row r="998" spans="29:29" ht="15.75" customHeight="1">
      <c r="AC998" s="1"/>
    </row>
    <row r="999" spans="29:29" ht="15.75" customHeight="1">
      <c r="AC999" s="1"/>
    </row>
    <row r="1000" spans="29:29" ht="15.75" customHeight="1">
      <c r="AC1000" s="1"/>
    </row>
    <row r="1001" spans="29:29" ht="15.75" customHeight="1">
      <c r="AC1001" s="1"/>
    </row>
    <row r="1002" spans="29:29" ht="15.75" customHeight="1">
      <c r="AC1002" s="1"/>
    </row>
  </sheetData>
  <mergeCells count="1">
    <mergeCell ref="A1:AB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>
      <selection activeCell="D34" sqref="D34"/>
    </sheetView>
  </sheetViews>
  <sheetFormatPr defaultColWidth="12.5703125" defaultRowHeight="15" customHeight="1"/>
  <cols>
    <col min="1" max="1" width="12.5703125" customWidth="1"/>
    <col min="2" max="3" width="18.42578125" customWidth="1"/>
    <col min="4" max="4" width="22.5703125" customWidth="1"/>
    <col min="5" max="5" width="20.7109375" customWidth="1"/>
    <col min="6" max="6" width="36.140625" customWidth="1"/>
    <col min="7" max="7" width="15.42578125" customWidth="1"/>
    <col min="13" max="13" width="17.140625" customWidth="1"/>
    <col min="14" max="14" width="15.28515625" customWidth="1"/>
    <col min="15" max="15" width="15.85546875" customWidth="1"/>
    <col min="16" max="16" width="13.42578125" customWidth="1"/>
  </cols>
  <sheetData>
    <row r="1" spans="1:26" ht="15" customHeight="1">
      <c r="A1" s="60" t="s">
        <v>53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" customHeight="1">
      <c r="A2" s="56"/>
      <c r="B2" s="117" t="s">
        <v>54</v>
      </c>
      <c r="C2" s="115"/>
      <c r="D2" s="115"/>
      <c r="E2" s="115"/>
      <c r="F2" s="11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>
      <c r="A3" s="56"/>
      <c r="B3" s="118" t="s">
        <v>55</v>
      </c>
      <c r="C3" s="120" t="s">
        <v>56</v>
      </c>
      <c r="D3" s="122" t="s">
        <v>57</v>
      </c>
      <c r="E3" s="122" t="s">
        <v>58</v>
      </c>
      <c r="F3" s="118" t="s">
        <v>59</v>
      </c>
      <c r="G3" s="61"/>
      <c r="H3" s="61"/>
      <c r="I3" s="61"/>
      <c r="J3" s="61"/>
      <c r="K3" s="61"/>
      <c r="L3" s="56"/>
      <c r="M3" s="56"/>
      <c r="N3" s="56"/>
      <c r="O3" s="56"/>
      <c r="P3" s="56"/>
      <c r="Q3" s="54"/>
      <c r="R3" s="62"/>
      <c r="S3" s="62"/>
      <c r="T3" s="62"/>
      <c r="U3" s="62"/>
      <c r="V3" s="61"/>
      <c r="W3" s="61"/>
      <c r="X3" s="61"/>
      <c r="Y3" s="61"/>
    </row>
    <row r="4" spans="1:26">
      <c r="A4" s="56"/>
      <c r="B4" s="119"/>
      <c r="C4" s="121"/>
      <c r="D4" s="119"/>
      <c r="E4" s="119"/>
      <c r="F4" s="119"/>
      <c r="G4" s="63"/>
      <c r="H4" s="61"/>
      <c r="I4" s="61"/>
      <c r="J4" s="61"/>
      <c r="K4" s="61"/>
      <c r="L4" s="56"/>
      <c r="M4" s="56"/>
      <c r="N4" s="56"/>
      <c r="O4" s="56"/>
      <c r="P4" s="56"/>
      <c r="Q4" s="56"/>
      <c r="R4" s="61"/>
      <c r="S4" s="61"/>
      <c r="T4" s="61"/>
      <c r="U4" s="61"/>
      <c r="V4" s="61"/>
      <c r="W4" s="61"/>
      <c r="X4" s="61"/>
      <c r="Y4" s="61"/>
    </row>
    <row r="5" spans="1:26">
      <c r="A5" s="56"/>
      <c r="B5" s="64" t="s">
        <v>4</v>
      </c>
      <c r="C5" s="65">
        <v>2637.32</v>
      </c>
      <c r="D5" s="66"/>
      <c r="E5" s="67"/>
      <c r="F5" s="68">
        <v>4300</v>
      </c>
      <c r="G5" s="63"/>
      <c r="H5" s="61"/>
      <c r="I5" s="61"/>
      <c r="J5" s="61"/>
      <c r="K5" s="61"/>
      <c r="L5" s="56"/>
      <c r="M5" s="56"/>
      <c r="N5" s="56"/>
      <c r="O5" s="56"/>
      <c r="P5" s="56"/>
      <c r="Q5" s="56"/>
      <c r="R5" s="61"/>
      <c r="S5" s="61"/>
      <c r="T5" s="61"/>
      <c r="U5" s="61"/>
      <c r="V5" s="61"/>
      <c r="W5" s="61"/>
      <c r="X5" s="61"/>
      <c r="Y5" s="61"/>
    </row>
    <row r="6" spans="1:26">
      <c r="A6" s="56"/>
      <c r="B6" s="64" t="s">
        <v>5</v>
      </c>
      <c r="C6" s="65">
        <v>2100</v>
      </c>
      <c r="D6" s="66">
        <v>1892.07</v>
      </c>
      <c r="E6" s="67">
        <v>1216</v>
      </c>
      <c r="F6" s="68"/>
      <c r="G6" s="69">
        <v>46113</v>
      </c>
      <c r="H6" s="61"/>
      <c r="I6" s="61"/>
      <c r="J6" s="61"/>
      <c r="K6" s="61"/>
      <c r="L6" s="60"/>
      <c r="M6" s="56"/>
      <c r="N6" s="56"/>
      <c r="O6" s="56"/>
      <c r="P6" s="56"/>
      <c r="Q6" s="56"/>
      <c r="R6" s="61"/>
      <c r="S6" s="61"/>
      <c r="T6" s="61"/>
      <c r="U6" s="61"/>
      <c r="V6" s="61"/>
      <c r="W6" s="61"/>
      <c r="X6" s="61"/>
      <c r="Y6" s="61"/>
    </row>
    <row r="7" spans="1:26">
      <c r="A7" s="56"/>
      <c r="B7" s="64" t="s">
        <v>6</v>
      </c>
      <c r="C7" s="65">
        <v>2100</v>
      </c>
      <c r="D7" s="66">
        <v>1892.07</v>
      </c>
      <c r="E7" s="67">
        <v>1621</v>
      </c>
      <c r="F7" s="68"/>
      <c r="G7" s="69">
        <v>46143</v>
      </c>
      <c r="H7" s="61"/>
      <c r="I7" s="61"/>
      <c r="J7" s="61"/>
      <c r="K7" s="61"/>
      <c r="L7" s="56"/>
      <c r="M7" s="56"/>
      <c r="N7" s="56"/>
      <c r="O7" s="56"/>
      <c r="P7" s="56"/>
      <c r="Q7" s="56"/>
      <c r="R7" s="61"/>
      <c r="S7" s="61"/>
      <c r="T7" s="61"/>
      <c r="U7" s="61"/>
      <c r="V7" s="61"/>
      <c r="W7" s="61"/>
      <c r="X7" s="61"/>
      <c r="Y7" s="61"/>
    </row>
    <row r="8" spans="1:26">
      <c r="A8" s="56"/>
      <c r="B8" s="64" t="s">
        <v>7</v>
      </c>
      <c r="C8" s="65">
        <v>2100</v>
      </c>
      <c r="D8" s="66">
        <v>1892.07</v>
      </c>
      <c r="E8" s="67"/>
      <c r="F8" s="70"/>
      <c r="G8" s="69">
        <v>46173</v>
      </c>
      <c r="H8" s="61"/>
      <c r="I8" s="61"/>
      <c r="J8" s="61"/>
      <c r="K8" s="61"/>
      <c r="L8" s="56"/>
      <c r="M8" s="56"/>
      <c r="N8" s="56"/>
      <c r="O8" s="56"/>
      <c r="P8" s="56"/>
      <c r="Q8" s="56"/>
      <c r="R8" s="61"/>
      <c r="S8" s="61"/>
      <c r="T8" s="61"/>
      <c r="U8" s="61"/>
      <c r="V8" s="61"/>
      <c r="W8" s="61"/>
      <c r="X8" s="61"/>
      <c r="Y8" s="61"/>
    </row>
    <row r="9" spans="1:26">
      <c r="A9" s="56"/>
      <c r="B9" s="64" t="s">
        <v>8</v>
      </c>
      <c r="C9" s="65">
        <v>2100</v>
      </c>
      <c r="D9" s="66">
        <v>1892.07</v>
      </c>
      <c r="E9" s="67"/>
      <c r="F9" s="68"/>
      <c r="G9" s="69">
        <v>46203</v>
      </c>
      <c r="H9" s="61"/>
      <c r="I9" s="61"/>
      <c r="J9" s="61"/>
      <c r="K9" s="61"/>
      <c r="L9" s="56"/>
      <c r="M9" s="56"/>
      <c r="N9" s="56"/>
      <c r="O9" s="56"/>
      <c r="P9" s="56"/>
      <c r="Q9" s="56"/>
      <c r="R9" s="61"/>
      <c r="S9" s="61"/>
      <c r="T9" s="61"/>
      <c r="U9" s="61"/>
      <c r="V9" s="61"/>
      <c r="W9" s="61"/>
      <c r="X9" s="61"/>
      <c r="Y9" s="61"/>
    </row>
    <row r="10" spans="1:26">
      <c r="A10" s="56"/>
      <c r="B10" s="64" t="s">
        <v>9</v>
      </c>
      <c r="C10" s="65">
        <v>2100</v>
      </c>
      <c r="D10" s="66">
        <v>1892.07</v>
      </c>
      <c r="E10" s="67"/>
      <c r="F10" s="70"/>
      <c r="G10" s="69">
        <v>46233</v>
      </c>
      <c r="H10" s="61"/>
      <c r="I10" s="61"/>
      <c r="J10" s="61"/>
      <c r="K10" s="61"/>
      <c r="L10" s="56"/>
      <c r="M10" s="56"/>
      <c r="N10" s="56"/>
      <c r="O10" s="56"/>
      <c r="P10" s="56"/>
      <c r="Q10" s="56"/>
      <c r="R10" s="61"/>
      <c r="S10" s="61"/>
      <c r="T10" s="61"/>
      <c r="U10" s="61"/>
      <c r="V10" s="61"/>
      <c r="W10" s="61"/>
      <c r="X10" s="61"/>
      <c r="Y10" s="61"/>
    </row>
    <row r="11" spans="1:26">
      <c r="A11" s="56"/>
      <c r="B11" s="64" t="s">
        <v>10</v>
      </c>
      <c r="C11" s="65">
        <v>2100</v>
      </c>
      <c r="D11" s="66"/>
      <c r="E11" s="67"/>
      <c r="F11" s="70"/>
      <c r="G11" s="61"/>
      <c r="H11" s="61"/>
      <c r="I11" s="61"/>
      <c r="J11" s="61"/>
      <c r="K11" s="61"/>
      <c r="L11" s="56"/>
      <c r="M11" s="56"/>
      <c r="N11" s="56"/>
      <c r="O11" s="56"/>
      <c r="P11" s="56"/>
      <c r="Q11" s="56"/>
      <c r="R11" s="61"/>
      <c r="S11" s="61"/>
      <c r="T11" s="61"/>
      <c r="U11" s="61"/>
      <c r="V11" s="61"/>
      <c r="W11" s="61"/>
      <c r="X11" s="61"/>
      <c r="Y11" s="61"/>
    </row>
    <row r="12" spans="1:26">
      <c r="A12" s="56"/>
      <c r="B12" s="64" t="s">
        <v>11</v>
      </c>
      <c r="C12" s="65">
        <v>2100</v>
      </c>
      <c r="D12" s="67"/>
      <c r="E12" s="66"/>
      <c r="F12" s="70"/>
      <c r="G12" s="61"/>
      <c r="H12" s="61"/>
      <c r="I12" s="61"/>
      <c r="J12" s="61"/>
      <c r="K12" s="61"/>
      <c r="L12" s="56"/>
      <c r="M12" s="56"/>
      <c r="N12" s="56"/>
      <c r="O12" s="56"/>
      <c r="P12" s="56"/>
      <c r="Q12" s="56"/>
      <c r="R12" s="61"/>
      <c r="S12" s="61"/>
      <c r="T12" s="61"/>
      <c r="U12" s="61"/>
      <c r="V12" s="61"/>
      <c r="W12" s="61"/>
      <c r="X12" s="61"/>
      <c r="Y12" s="61"/>
    </row>
    <row r="13" spans="1:26">
      <c r="A13" s="56"/>
      <c r="B13" s="64" t="s">
        <v>12</v>
      </c>
      <c r="C13" s="65">
        <v>2100</v>
      </c>
      <c r="D13" s="67"/>
      <c r="E13" s="66"/>
      <c r="F13" s="70"/>
      <c r="G13" s="61"/>
      <c r="H13" s="61"/>
      <c r="I13" s="61"/>
      <c r="J13" s="61"/>
      <c r="K13" s="61"/>
      <c r="L13" s="56"/>
      <c r="M13" s="56"/>
      <c r="N13" s="56"/>
      <c r="O13" s="56"/>
      <c r="P13" s="56"/>
      <c r="Q13" s="56"/>
      <c r="R13" s="61"/>
      <c r="S13" s="61"/>
      <c r="T13" s="61"/>
      <c r="U13" s="61"/>
      <c r="V13" s="61"/>
      <c r="W13" s="61"/>
      <c r="X13" s="61"/>
      <c r="Y13" s="61"/>
    </row>
    <row r="14" spans="1:26">
      <c r="A14" s="56"/>
      <c r="B14" s="64" t="s">
        <v>13</v>
      </c>
      <c r="C14" s="65">
        <v>2100</v>
      </c>
      <c r="D14" s="67"/>
      <c r="E14" s="66"/>
      <c r="F14" s="70"/>
      <c r="G14" s="61"/>
      <c r="H14" s="61"/>
      <c r="I14" s="61"/>
      <c r="J14" s="61"/>
      <c r="K14" s="61"/>
      <c r="L14" s="56"/>
      <c r="M14" s="56"/>
      <c r="N14" s="56"/>
      <c r="O14" s="56"/>
      <c r="P14" s="56"/>
      <c r="Q14" s="56"/>
      <c r="R14" s="61"/>
      <c r="S14" s="61"/>
      <c r="T14" s="61"/>
      <c r="U14" s="61"/>
      <c r="V14" s="61"/>
      <c r="W14" s="61"/>
      <c r="X14" s="61"/>
      <c r="Y14" s="61"/>
    </row>
    <row r="15" spans="1:26">
      <c r="A15" s="56"/>
      <c r="B15" s="71" t="s">
        <v>2</v>
      </c>
      <c r="C15" s="72">
        <v>2100</v>
      </c>
      <c r="D15" s="73"/>
      <c r="E15" s="74"/>
      <c r="F15" s="75"/>
      <c r="G15" s="61"/>
      <c r="H15" s="61"/>
      <c r="I15" s="61"/>
      <c r="J15" s="61"/>
      <c r="K15" s="61"/>
      <c r="L15" s="60"/>
      <c r="M15" s="76"/>
      <c r="N15" s="76"/>
      <c r="O15" s="76"/>
      <c r="P15" s="76"/>
      <c r="Q15" s="56"/>
      <c r="R15" s="61"/>
      <c r="S15" s="61"/>
      <c r="T15" s="61"/>
      <c r="U15" s="61"/>
      <c r="V15" s="61"/>
      <c r="W15" s="61"/>
      <c r="X15" s="61"/>
      <c r="Y15" s="61"/>
    </row>
    <row r="16" spans="1:26">
      <c r="A16" s="56"/>
      <c r="B16" s="61"/>
      <c r="C16" s="61"/>
      <c r="D16" s="77"/>
      <c r="E16" s="77"/>
      <c r="F16" s="61"/>
      <c r="G16" s="61"/>
      <c r="H16" s="61"/>
      <c r="I16" s="61"/>
      <c r="J16" s="63"/>
      <c r="K16" s="61"/>
      <c r="L16" s="56"/>
      <c r="M16" s="56"/>
      <c r="N16" s="56"/>
      <c r="O16" s="56"/>
      <c r="P16" s="56"/>
      <c r="Q16" s="56"/>
      <c r="R16" s="61"/>
      <c r="S16" s="61"/>
      <c r="T16" s="61"/>
      <c r="U16" s="61"/>
      <c r="V16" s="61"/>
      <c r="W16" s="61"/>
      <c r="X16" s="61"/>
      <c r="Y16" s="61"/>
    </row>
    <row r="17" spans="1:25" ht="18.75">
      <c r="A17" s="56"/>
      <c r="B17" s="114" t="s">
        <v>60</v>
      </c>
      <c r="C17" s="115"/>
      <c r="D17" s="115"/>
      <c r="E17" s="115"/>
      <c r="F17" s="116"/>
      <c r="G17" s="56"/>
      <c r="H17" s="61"/>
      <c r="I17" s="61"/>
      <c r="J17" s="61"/>
      <c r="K17" s="61"/>
      <c r="L17" s="56"/>
      <c r="M17" s="56"/>
      <c r="N17" s="56"/>
      <c r="O17" s="56"/>
      <c r="P17" s="56"/>
      <c r="Q17" s="56"/>
      <c r="R17" s="61"/>
      <c r="S17" s="61"/>
      <c r="T17" s="61"/>
      <c r="U17" s="61"/>
      <c r="V17" s="61"/>
      <c r="W17" s="61"/>
      <c r="X17" s="61"/>
      <c r="Y17" s="61"/>
    </row>
    <row r="18" spans="1:25">
      <c r="A18" s="56"/>
      <c r="B18" s="123" t="s">
        <v>55</v>
      </c>
      <c r="C18" s="124" t="s">
        <v>61</v>
      </c>
      <c r="D18" s="126" t="s">
        <v>62</v>
      </c>
      <c r="E18" s="126" t="s">
        <v>63</v>
      </c>
      <c r="F18" s="127" t="s">
        <v>64</v>
      </c>
      <c r="G18" s="56"/>
      <c r="H18" s="61"/>
      <c r="I18" s="61"/>
      <c r="J18" s="61"/>
      <c r="K18" s="61"/>
      <c r="L18" s="56"/>
      <c r="M18" s="56"/>
      <c r="N18" s="56"/>
      <c r="O18" s="56"/>
      <c r="P18" s="56"/>
      <c r="Q18" s="56"/>
      <c r="R18" s="61"/>
      <c r="S18" s="61"/>
      <c r="T18" s="61"/>
      <c r="U18" s="61"/>
      <c r="V18" s="61"/>
      <c r="W18" s="61"/>
      <c r="X18" s="61"/>
      <c r="Y18" s="61"/>
    </row>
    <row r="19" spans="1:25">
      <c r="A19" s="56"/>
      <c r="B19" s="119"/>
      <c r="C19" s="125"/>
      <c r="D19" s="125"/>
      <c r="E19" s="125"/>
      <c r="F19" s="121"/>
      <c r="G19" s="56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spans="1:25" ht="15.75" customHeight="1">
      <c r="A20" s="56"/>
      <c r="B20" s="78" t="s">
        <v>4</v>
      </c>
      <c r="C20" s="59">
        <f>SUM('GANHO MENSAL'!C5:E5)</f>
        <v>2637.32</v>
      </c>
      <c r="D20" s="79">
        <f>_xlfn.XLOOKUP(B20,CONTAS!$2:$2,CONTAS!$30:$30,0,0)</f>
        <v>2569.75</v>
      </c>
      <c r="E20" s="79">
        <f>C20-D20</f>
        <v>67.570000000000164</v>
      </c>
      <c r="F20" s="80">
        <v>4333</v>
      </c>
      <c r="G20" s="56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spans="1:25" ht="15.75" customHeight="1">
      <c r="A21" s="56"/>
      <c r="B21" s="78" t="s">
        <v>5</v>
      </c>
      <c r="C21" s="79">
        <f>SUM('GANHO MENSAL'!C6:E6)</f>
        <v>5208.07</v>
      </c>
      <c r="D21" s="79">
        <f>_xlfn.XLOOKUP(B21,CONTAS!$2:$2,CONTAS!$30:$30,0,0)</f>
        <v>13795</v>
      </c>
      <c r="E21" s="79">
        <f t="shared" ref="E21:E29" si="0">C21-D21</f>
        <v>-8586.93</v>
      </c>
      <c r="F21" s="81">
        <f t="shared" ref="F21:F29" si="1">SUM(F20,E21)</f>
        <v>-4253.93</v>
      </c>
      <c r="G21" s="56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spans="1:25" ht="15.75" customHeight="1">
      <c r="A22" s="56"/>
      <c r="B22" s="78" t="s">
        <v>6</v>
      </c>
      <c r="C22" s="79">
        <f>SUM('GANHO MENSAL'!C7:E7)</f>
        <v>5613.07</v>
      </c>
      <c r="D22" s="79">
        <f>_xlfn.XLOOKUP(B22,CONTAS!$2:$2,CONTAS!$30:$30,0,0)</f>
        <v>2992.87</v>
      </c>
      <c r="E22" s="79">
        <f t="shared" si="0"/>
        <v>2620.1999999999998</v>
      </c>
      <c r="F22" s="81">
        <f t="shared" si="1"/>
        <v>-1633.7300000000005</v>
      </c>
      <c r="G22" s="56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1:25" ht="15.75" customHeight="1">
      <c r="A23" s="56"/>
      <c r="B23" s="78" t="s">
        <v>7</v>
      </c>
      <c r="C23" s="79">
        <f>SUM('GANHO MENSAL'!C8:D8)</f>
        <v>3992.0699999999997</v>
      </c>
      <c r="D23" s="79">
        <f>_xlfn.XLOOKUP(B23,CONTAS!$2:$2,CONTAS!$30:$30,0,0)</f>
        <v>2251.15</v>
      </c>
      <c r="E23" s="79">
        <f t="shared" si="0"/>
        <v>1740.9199999999996</v>
      </c>
      <c r="F23" s="81">
        <f t="shared" si="1"/>
        <v>107.18999999999915</v>
      </c>
      <c r="G23" s="56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1:25" ht="15.75" customHeight="1">
      <c r="A24" s="56"/>
      <c r="B24" s="78" t="s">
        <v>8</v>
      </c>
      <c r="C24" s="79">
        <f>SUM('GANHO MENSAL'!C9:D9)</f>
        <v>3992.0699999999997</v>
      </c>
      <c r="D24" s="79">
        <f>_xlfn.XLOOKUP(B24,CONTAS!$2:$2,CONTAS!$30:$30,0,0)</f>
        <v>2251.15</v>
      </c>
      <c r="E24" s="79">
        <f t="shared" si="0"/>
        <v>1740.9199999999996</v>
      </c>
      <c r="F24" s="81">
        <f t="shared" si="1"/>
        <v>1848.1099999999988</v>
      </c>
      <c r="G24" s="56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spans="1:25" ht="15.75" customHeight="1">
      <c r="A25" s="56"/>
      <c r="B25" s="78" t="s">
        <v>9</v>
      </c>
      <c r="C25" s="79">
        <f>SUM('GANHO MENSAL'!C10:D10)</f>
        <v>3992.0699999999997</v>
      </c>
      <c r="D25" s="79">
        <f>_xlfn.XLOOKUP(B25,CONTAS!$2:$2,CONTAS!$30:$30,0,0)</f>
        <v>2266.15</v>
      </c>
      <c r="E25" s="79">
        <f t="shared" si="0"/>
        <v>1725.9199999999996</v>
      </c>
      <c r="F25" s="81">
        <f t="shared" si="1"/>
        <v>3574.0299999999984</v>
      </c>
      <c r="G25" s="56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spans="1:25" ht="15.75" customHeight="1">
      <c r="A26" s="56"/>
      <c r="B26" s="78" t="s">
        <v>10</v>
      </c>
      <c r="C26" s="79">
        <f>SUM('GANHO MENSAL'!C11:E11)</f>
        <v>2100</v>
      </c>
      <c r="D26" s="79">
        <f>_xlfn.XLOOKUP(B26,CONTAS!$2:$2,CONTAS!$30:$30,0,0)</f>
        <v>1901.15</v>
      </c>
      <c r="E26" s="79">
        <f t="shared" si="0"/>
        <v>198.84999999999991</v>
      </c>
      <c r="F26" s="81">
        <f t="shared" si="1"/>
        <v>3772.8799999999983</v>
      </c>
      <c r="G26" s="56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spans="1:25" ht="15.75" customHeight="1">
      <c r="A27" s="56"/>
      <c r="B27" s="78" t="s">
        <v>11</v>
      </c>
      <c r="C27" s="79">
        <f>SUM('GANHO MENSAL'!C12:E12)</f>
        <v>2100</v>
      </c>
      <c r="D27" s="79">
        <f>_xlfn.XLOOKUP(B27,CONTAS!$2:$2,CONTAS!$30:$30,0,0)</f>
        <v>1901.15</v>
      </c>
      <c r="E27" s="79">
        <f t="shared" si="0"/>
        <v>198.84999999999991</v>
      </c>
      <c r="F27" s="81">
        <f t="shared" si="1"/>
        <v>3971.7299999999982</v>
      </c>
      <c r="G27" s="56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spans="1:25" ht="15.75" customHeight="1">
      <c r="A28" s="56"/>
      <c r="B28" s="78" t="s">
        <v>12</v>
      </c>
      <c r="C28" s="79">
        <f>SUM('GANHO MENSAL'!C13:E13)</f>
        <v>2100</v>
      </c>
      <c r="D28" s="79">
        <f>_xlfn.XLOOKUP(B28,CONTAS!$2:$2,CONTAS!$30:$30,0,0)</f>
        <v>1674.1100000000001</v>
      </c>
      <c r="E28" s="79">
        <f t="shared" si="0"/>
        <v>425.88999999999987</v>
      </c>
      <c r="F28" s="81">
        <f t="shared" si="1"/>
        <v>4397.6199999999981</v>
      </c>
      <c r="G28" s="56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spans="1:25" ht="15.75" customHeight="1">
      <c r="A29" s="56"/>
      <c r="B29" s="82" t="s">
        <v>13</v>
      </c>
      <c r="C29" s="83">
        <f>SUM('GANHO MENSAL'!C14:E14)</f>
        <v>2100</v>
      </c>
      <c r="D29" s="110">
        <f>_xlfn.XLOOKUP(B29,CONTAS!$2:$2,CONTAS!$30:$30,0,0)</f>
        <v>1512.72</v>
      </c>
      <c r="E29" s="83">
        <f t="shared" si="0"/>
        <v>587.28</v>
      </c>
      <c r="F29" s="75">
        <f t="shared" si="1"/>
        <v>4984.8999999999978</v>
      </c>
      <c r="G29" s="56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spans="1:25" ht="15.75" customHeight="1">
      <c r="A30" s="56"/>
      <c r="B30" s="56"/>
      <c r="C30" s="56"/>
      <c r="D30" s="84"/>
      <c r="E30" s="56"/>
      <c r="F30" s="56"/>
      <c r="G30" s="56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 spans="1:25" ht="15.75" customHeight="1">
      <c r="A31" s="56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spans="1:25" ht="15.75" customHeight="1">
      <c r="A32" s="56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spans="1:25" ht="15.75" customHeight="1">
      <c r="A33" s="56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spans="1:25" ht="15.75" customHeight="1">
      <c r="A34" s="56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spans="1:25" ht="15.75" customHeight="1">
      <c r="A35" s="56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spans="1:25" ht="15.75" customHeight="1">
      <c r="A36" s="56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spans="1:25" ht="15.75" customHeight="1">
      <c r="A37" s="56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 ht="15.75" customHeight="1">
      <c r="A38" s="56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15.75" customHeight="1">
      <c r="A39" s="56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ht="15.75" customHeight="1">
      <c r="A40" s="56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15.75" customHeight="1">
      <c r="A41" s="56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ht="15.75" customHeight="1">
      <c r="A42" s="56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ht="15.75" customHeight="1">
      <c r="A43" s="56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ht="15.75" customHeight="1">
      <c r="A44" s="56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ht="15.75" customHeight="1">
      <c r="A45" s="56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ht="15.75" customHeight="1">
      <c r="A46" s="56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ht="15.75" customHeight="1">
      <c r="A47" s="56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ht="15.75" customHeight="1">
      <c r="A48" s="56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ht="15.75" customHeight="1">
      <c r="A49" s="56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ht="15.75" customHeight="1">
      <c r="A50" s="56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ht="15.75" customHeight="1">
      <c r="A51" s="56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ht="15.75" customHeight="1">
      <c r="A52" s="56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ht="15.75" customHeight="1">
      <c r="A53" s="56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ht="15.75" customHeight="1">
      <c r="A54" s="56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ht="15.75" customHeight="1">
      <c r="A55" s="56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ht="15.75" customHeight="1">
      <c r="A56" s="56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ht="15.75" customHeight="1">
      <c r="A57" s="56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ht="15.75" customHeight="1">
      <c r="A58" s="5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ht="15.75" customHeight="1">
      <c r="A59" s="56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ht="15.75" customHeight="1">
      <c r="A60" s="56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ht="15.75" customHeight="1">
      <c r="A61" s="56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ht="15.75" customHeight="1">
      <c r="A62" s="56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ht="15.75" customHeight="1">
      <c r="A63" s="56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ht="15.75" customHeight="1">
      <c r="A64" s="56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ht="15.75" customHeight="1">
      <c r="A65" s="56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ht="15.75" customHeight="1">
      <c r="A66" s="56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ht="15.75" customHeight="1">
      <c r="A67" s="56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ht="15.75" customHeight="1">
      <c r="A68" s="56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ht="15.75" customHeight="1">
      <c r="A69" s="56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spans="1:25" ht="15.75" customHeight="1">
      <c r="A70" s="56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1:25" ht="15.75" customHeight="1">
      <c r="A71" s="56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spans="1:25" ht="15.75" customHeight="1">
      <c r="A72" s="56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spans="1:25" ht="15.75" customHeight="1">
      <c r="A73" s="56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spans="1:25" ht="15.75" customHeight="1">
      <c r="A74" s="56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spans="1:25" ht="15.75" customHeight="1">
      <c r="A75" s="56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spans="1:25" ht="15.75" customHeight="1">
      <c r="A76" s="56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spans="1:25" ht="15.75" customHeight="1">
      <c r="A77" s="56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spans="1:25" ht="15.75" customHeight="1">
      <c r="A78" s="56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spans="1:25" ht="15.75" customHeight="1">
      <c r="A79" s="56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spans="1:25" ht="15.75" customHeight="1">
      <c r="A80" s="56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spans="1:25" ht="15.75" customHeight="1">
      <c r="A81" s="56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spans="1:25" ht="15.75" customHeight="1">
      <c r="A82" s="56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spans="1:25" ht="15.75" customHeight="1">
      <c r="A83" s="56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spans="1:25" ht="15.75" customHeight="1">
      <c r="A84" s="56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spans="1:25" ht="15.75" customHeight="1">
      <c r="A85" s="56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spans="1:25" ht="15.75" customHeight="1">
      <c r="A86" s="56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spans="1:25" ht="15.75" customHeight="1">
      <c r="A87" s="56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spans="1:25" ht="15.75" customHeight="1">
      <c r="A88" s="56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spans="1:25" ht="15.75" customHeight="1">
      <c r="A89" s="56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spans="1:25" ht="15.75" customHeight="1">
      <c r="A90" s="56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spans="1:25" ht="15.75" customHeight="1">
      <c r="A91" s="56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spans="1:25" ht="15.75" customHeight="1">
      <c r="A92" s="56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spans="1:25" ht="15.75" customHeight="1">
      <c r="A93" s="56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spans="1:25" ht="15.75" customHeight="1">
      <c r="A94" s="56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spans="1:25" ht="15.75" customHeight="1">
      <c r="A95" s="56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spans="1:25" ht="15.75" customHeight="1">
      <c r="A96" s="56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spans="1:25" ht="15.75" customHeight="1">
      <c r="A97" s="56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spans="1:25" ht="15.75" customHeight="1">
      <c r="A98" s="56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 spans="1:25" ht="15.75" customHeight="1">
      <c r="A99" s="56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 spans="1:25" ht="15.75" customHeight="1">
      <c r="A100" s="56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 spans="1:25" ht="15.75" customHeight="1">
      <c r="A101" s="56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 spans="1:25" ht="15.75" customHeight="1">
      <c r="A102" s="56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 spans="1:25" ht="15.75" customHeight="1">
      <c r="A103" s="56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 spans="1:25" ht="15.75" customHeight="1">
      <c r="A104" s="56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 spans="1:25" ht="15.75" customHeight="1">
      <c r="A105" s="56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 spans="1:25" ht="15.75" customHeight="1">
      <c r="A106" s="56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 spans="1:25" ht="15.75" customHeight="1">
      <c r="A107" s="56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 spans="1:25" ht="15.75" customHeight="1">
      <c r="A108" s="56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 spans="1:25" ht="15.75" customHeight="1">
      <c r="A109" s="56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spans="1:25" ht="15.75" customHeight="1">
      <c r="A110" s="56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 spans="1:25" ht="15.75" customHeight="1">
      <c r="A111" s="56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 spans="1:25" ht="15.75" customHeight="1">
      <c r="A112" s="56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 spans="1:25" ht="15.75" customHeight="1">
      <c r="A113" s="56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 spans="1:25" ht="15.75" customHeight="1">
      <c r="A114" s="56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spans="1:25" ht="15.75" customHeight="1">
      <c r="A115" s="56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 spans="1:25" ht="15.75" customHeight="1">
      <c r="A116" s="56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 spans="1:25" ht="15.75" customHeight="1">
      <c r="A117" s="56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 spans="1:25" ht="15.75" customHeight="1">
      <c r="A118" s="56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 spans="1:25" ht="15.75" customHeight="1">
      <c r="A119" s="56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 spans="1:25" ht="15.75" customHeight="1">
      <c r="A120" s="56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 spans="1:25" ht="15.75" customHeight="1">
      <c r="A121" s="56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 spans="1:25" ht="15.75" customHeight="1">
      <c r="A122" s="56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 spans="1:25" ht="15.75" customHeight="1">
      <c r="A123" s="56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 spans="1:25" ht="15.75" customHeight="1">
      <c r="A124" s="56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 spans="1:25" ht="15.75" customHeight="1">
      <c r="A125" s="56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 spans="1:25" ht="15.75" customHeight="1">
      <c r="A126" s="56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 spans="1:25" ht="15.75" customHeight="1">
      <c r="A127" s="56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 spans="1:25" ht="15.75" customHeight="1">
      <c r="A128" s="56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 spans="1:25" ht="15.75" customHeight="1">
      <c r="A129" s="56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 spans="1:25" ht="15.75" customHeight="1">
      <c r="A130" s="56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 spans="1:25" ht="15.75" customHeight="1">
      <c r="A131" s="56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 spans="1:25" ht="15.75" customHeight="1">
      <c r="A132" s="56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 spans="1:25" ht="15.75" customHeight="1">
      <c r="A133" s="56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 spans="1:25" ht="15.75" customHeight="1">
      <c r="A134" s="56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 spans="1:25" ht="15.75" customHeight="1">
      <c r="A135" s="56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 spans="1:25" ht="15.75" customHeight="1">
      <c r="A136" s="56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 spans="1:25" ht="15.75" customHeight="1">
      <c r="A137" s="56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 spans="1:25" ht="15.75" customHeight="1">
      <c r="A138" s="56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 spans="1:25" ht="15.75" customHeight="1">
      <c r="A139" s="56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spans="1:25" ht="15.75" customHeight="1">
      <c r="A140" s="56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 spans="1:25" ht="15.75" customHeight="1">
      <c r="A141" s="56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 spans="1:25" ht="15.75" customHeight="1">
      <c r="A142" s="56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 spans="1:25" ht="15.75" customHeight="1">
      <c r="A143" s="56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 spans="1:25" ht="15.75" customHeight="1">
      <c r="A144" s="56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 spans="1:25" ht="15.75" customHeight="1">
      <c r="A145" s="56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 spans="1:25" ht="15.75" customHeight="1">
      <c r="A146" s="56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 spans="1:25" ht="15.75" customHeight="1">
      <c r="A147" s="56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 spans="1:25" ht="15.75" customHeight="1">
      <c r="A148" s="56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 spans="1:25" ht="15.75" customHeight="1">
      <c r="A149" s="56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 spans="1:25" ht="15.75" customHeight="1">
      <c r="A150" s="56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 spans="1:25" ht="15.75" customHeight="1">
      <c r="A151" s="56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 spans="1:25" ht="15.75" customHeight="1">
      <c r="A152" s="56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 spans="1:25" ht="15.75" customHeight="1">
      <c r="A153" s="56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 spans="1:25" ht="15.75" customHeight="1">
      <c r="A154" s="56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 spans="1:25" ht="15.75" customHeight="1">
      <c r="A155" s="56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 spans="1:25" ht="15.75" customHeight="1">
      <c r="A156" s="56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 spans="1:25" ht="15.75" customHeight="1">
      <c r="A157" s="56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 spans="1:25" ht="15.75" customHeight="1">
      <c r="A158" s="56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 spans="1:25" ht="15.75" customHeight="1">
      <c r="A159" s="56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 spans="1:25" ht="15.75" customHeight="1">
      <c r="A160" s="56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spans="1:25" ht="15.75" customHeight="1">
      <c r="A161" s="56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 spans="1:25" ht="15.75" customHeight="1">
      <c r="A162" s="56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 spans="1:25" ht="15.75" customHeight="1">
      <c r="A163" s="56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 spans="1:25" ht="15.75" customHeight="1">
      <c r="A164" s="56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 spans="1:25" ht="15.75" customHeight="1">
      <c r="A165" s="56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 spans="1:25" ht="15.75" customHeight="1">
      <c r="A166" s="56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 spans="1:25" ht="15.75" customHeight="1">
      <c r="A167" s="56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 spans="1:25" ht="15.75" customHeight="1">
      <c r="A168" s="56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 spans="1:25" ht="15.75" customHeight="1">
      <c r="A169" s="56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 spans="1:25" ht="15.75" customHeight="1">
      <c r="A170" s="56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 spans="1:25" ht="15.75" customHeight="1">
      <c r="A171" s="56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 spans="1:25" ht="15.75" customHeight="1">
      <c r="A172" s="56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 spans="1:25" ht="15.75" customHeight="1">
      <c r="A173" s="56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 spans="1:25" ht="15.75" customHeight="1">
      <c r="A174" s="56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 spans="1:25" ht="15.75" customHeight="1">
      <c r="A175" s="56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 spans="1:25" ht="15.75" customHeight="1">
      <c r="A176" s="56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spans="1:25" ht="15.75" customHeight="1">
      <c r="A177" s="56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 spans="1:25" ht="15.75" customHeight="1">
      <c r="A178" s="56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 spans="1:25" ht="15.75" customHeight="1">
      <c r="A179" s="56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 spans="1:25" ht="15.75" customHeight="1">
      <c r="A180" s="56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 spans="1:25" ht="15.75" customHeight="1">
      <c r="A181" s="56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15.75" customHeight="1">
      <c r="A182" s="56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 spans="1:25" ht="15.75" customHeight="1">
      <c r="A183" s="56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 spans="1:25" ht="15.75" customHeight="1">
      <c r="A184" s="56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 spans="1:25" ht="15.75" customHeight="1">
      <c r="A185" s="56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 spans="1:25" ht="15.75" customHeight="1">
      <c r="A186" s="56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 spans="1:25" ht="15.75" customHeight="1">
      <c r="A187" s="56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 spans="1:25" ht="15.75" customHeight="1">
      <c r="A188" s="56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 spans="1:25" ht="15.75" customHeight="1">
      <c r="A189" s="56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 spans="1:25" ht="15.75" customHeight="1">
      <c r="A190" s="56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 spans="1:25" ht="15.75" customHeight="1">
      <c r="A191" s="56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 spans="1:25" ht="15.75" customHeight="1">
      <c r="A192" s="56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 spans="1:25" ht="15.75" customHeight="1">
      <c r="A193" s="56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 spans="1:25" ht="15.75" customHeight="1">
      <c r="A194" s="56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 spans="1:25" ht="15.75" customHeight="1">
      <c r="A195" s="56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 spans="1:25" ht="15.75" customHeight="1">
      <c r="A196" s="56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 spans="1:25" ht="15.75" customHeight="1">
      <c r="A197" s="56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 spans="1:25" ht="15.75" customHeight="1">
      <c r="A198" s="56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 spans="1:25" ht="15.75" customHeight="1">
      <c r="A199" s="56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 spans="1:25" ht="15.75" customHeight="1">
      <c r="A200" s="56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 spans="1:25" ht="15.75" customHeight="1">
      <c r="A201" s="56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 spans="1:25" ht="15.75" customHeight="1">
      <c r="A202" s="56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 spans="1:25" ht="15.75" customHeight="1">
      <c r="A203" s="56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spans="1:25" ht="15.75" customHeight="1">
      <c r="A204" s="56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 spans="1:25" ht="15.75" customHeight="1">
      <c r="A205" s="56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 spans="1:25" ht="15.75" customHeight="1">
      <c r="A206" s="56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 spans="1:25" ht="15.75" customHeight="1">
      <c r="A207" s="56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 spans="1:25" ht="15.75" customHeight="1">
      <c r="A208" s="56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 spans="1:25" ht="15.75" customHeight="1">
      <c r="A209" s="56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 spans="1:25" ht="15.75" customHeight="1">
      <c r="A210" s="56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 spans="1:25" ht="15.75" customHeight="1">
      <c r="A211" s="56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 spans="1:25" ht="15.75" customHeight="1">
      <c r="A212" s="56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 spans="1:25" ht="15.75" customHeight="1">
      <c r="A213" s="56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 spans="1:25" ht="15.75" customHeight="1">
      <c r="A214" s="56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 spans="1:25" ht="15.75" customHeight="1">
      <c r="A215" s="56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 spans="1:25" ht="15.75" customHeight="1">
      <c r="A216" s="56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 spans="1:25" ht="15.75" customHeight="1">
      <c r="A217" s="56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 spans="1:25" ht="15.75" customHeight="1">
      <c r="A218" s="56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 spans="1:25" ht="15.75" customHeight="1">
      <c r="A219" s="56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 spans="1:25" ht="15.75" customHeight="1">
      <c r="A220" s="56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 spans="1:25" ht="15.75" customHeight="1">
      <c r="A221" s="56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 spans="1:25" ht="15.75" customHeight="1">
      <c r="A222" s="56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 spans="1:25" ht="15.75" customHeight="1">
      <c r="A223" s="56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 spans="1:25" ht="15.75" customHeight="1">
      <c r="A224" s="56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 spans="1:25" ht="15.75" customHeight="1">
      <c r="A225" s="56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 spans="1:25" ht="15.75" customHeight="1">
      <c r="A226" s="56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 spans="1:25" ht="15.75" customHeight="1">
      <c r="A227" s="56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 spans="1:25" ht="15.75" customHeight="1">
      <c r="A228" s="56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 spans="1:25" ht="15.75" customHeight="1">
      <c r="A229" s="56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 spans="1:25" ht="15.75" customHeight="1">
      <c r="A230" s="56"/>
    </row>
    <row r="231" spans="1:25" ht="15.75" customHeight="1">
      <c r="A231" s="56"/>
    </row>
    <row r="232" spans="1:25" ht="15.75" customHeight="1">
      <c r="A232" s="56"/>
    </row>
    <row r="233" spans="1:25" ht="15.75" customHeight="1">
      <c r="A233" s="56"/>
    </row>
    <row r="234" spans="1:25" ht="15.75" customHeight="1">
      <c r="A234" s="56"/>
    </row>
    <row r="235" spans="1:25" ht="15.75" customHeight="1">
      <c r="A235" s="56"/>
    </row>
    <row r="236" spans="1:25" ht="15.75" customHeight="1">
      <c r="A236" s="56"/>
    </row>
    <row r="237" spans="1:25" ht="15.75" customHeight="1">
      <c r="A237" s="56"/>
    </row>
    <row r="238" spans="1:25" ht="15.75" customHeight="1">
      <c r="A238" s="56"/>
    </row>
    <row r="239" spans="1:25" ht="15.75" customHeight="1">
      <c r="A239" s="56"/>
    </row>
    <row r="240" spans="1:25" ht="15.75" customHeight="1">
      <c r="A240" s="56"/>
    </row>
    <row r="241" spans="1:1" ht="15.75" customHeight="1">
      <c r="A241" s="56"/>
    </row>
    <row r="242" spans="1:1" ht="15.75" customHeight="1">
      <c r="A242" s="56"/>
    </row>
    <row r="243" spans="1:1" ht="15.75" customHeight="1">
      <c r="A243" s="56"/>
    </row>
    <row r="244" spans="1:1" ht="15.75" customHeight="1">
      <c r="A244" s="56"/>
    </row>
    <row r="245" spans="1:1" ht="15.75" customHeight="1">
      <c r="A245" s="56"/>
    </row>
    <row r="246" spans="1:1" ht="15.75" customHeight="1">
      <c r="A246" s="56"/>
    </row>
    <row r="247" spans="1:1" ht="15.75" customHeight="1">
      <c r="A247" s="56"/>
    </row>
    <row r="248" spans="1:1" ht="15.75" customHeight="1">
      <c r="A248" s="56"/>
    </row>
    <row r="249" spans="1:1" ht="15.75" customHeight="1">
      <c r="A249" s="56"/>
    </row>
    <row r="250" spans="1:1" ht="15.75" customHeight="1">
      <c r="A250" s="56"/>
    </row>
    <row r="251" spans="1:1" ht="15.75" customHeight="1">
      <c r="A251" s="56"/>
    </row>
    <row r="252" spans="1:1" ht="15.75" customHeight="1">
      <c r="A252" s="56"/>
    </row>
    <row r="253" spans="1:1" ht="15.75" customHeight="1">
      <c r="A253" s="56"/>
    </row>
    <row r="254" spans="1:1" ht="15.75" customHeight="1">
      <c r="A254" s="56"/>
    </row>
    <row r="255" spans="1:1" ht="15.75" customHeight="1">
      <c r="A255" s="56"/>
    </row>
    <row r="256" spans="1:1" ht="15.75" customHeight="1">
      <c r="A256" s="56"/>
    </row>
    <row r="257" spans="1:1" ht="15.75" customHeight="1">
      <c r="A257" s="56"/>
    </row>
    <row r="258" spans="1:1" ht="15.75" customHeight="1">
      <c r="A258" s="56"/>
    </row>
    <row r="259" spans="1:1" ht="15.75" customHeight="1">
      <c r="A259" s="56"/>
    </row>
    <row r="260" spans="1:1" ht="15.75" customHeight="1">
      <c r="A260" s="56"/>
    </row>
    <row r="261" spans="1:1" ht="15.75" customHeight="1">
      <c r="A261" s="56"/>
    </row>
    <row r="262" spans="1:1" ht="15.75" customHeight="1">
      <c r="A262" s="56"/>
    </row>
    <row r="263" spans="1:1" ht="15.75" customHeight="1">
      <c r="A263" s="56"/>
    </row>
    <row r="264" spans="1:1" ht="15.75" customHeight="1">
      <c r="A264" s="56"/>
    </row>
    <row r="265" spans="1:1" ht="15.75" customHeight="1">
      <c r="A265" s="56"/>
    </row>
    <row r="266" spans="1:1" ht="15.75" customHeight="1">
      <c r="A266" s="56"/>
    </row>
    <row r="267" spans="1:1" ht="15.75" customHeight="1">
      <c r="A267" s="56"/>
    </row>
    <row r="268" spans="1:1" ht="15.75" customHeight="1">
      <c r="A268" s="56"/>
    </row>
    <row r="269" spans="1:1" ht="15.75" customHeight="1">
      <c r="A269" s="56"/>
    </row>
    <row r="270" spans="1:1" ht="15.75" customHeight="1">
      <c r="A270" s="56"/>
    </row>
    <row r="271" spans="1:1" ht="15.75" customHeight="1">
      <c r="A271" s="56"/>
    </row>
    <row r="272" spans="1:1" ht="15.75" customHeight="1">
      <c r="A272" s="56"/>
    </row>
    <row r="273" spans="1:1" ht="15.75" customHeight="1">
      <c r="A273" s="56"/>
    </row>
    <row r="274" spans="1:1" ht="15.75" customHeight="1">
      <c r="A274" s="56"/>
    </row>
    <row r="275" spans="1:1" ht="15.75" customHeight="1">
      <c r="A275" s="56"/>
    </row>
    <row r="276" spans="1:1" ht="15.75" customHeight="1">
      <c r="A276" s="56"/>
    </row>
    <row r="277" spans="1:1" ht="15.75" customHeight="1">
      <c r="A277" s="56"/>
    </row>
    <row r="278" spans="1:1" ht="15.75" customHeight="1">
      <c r="A278" s="56"/>
    </row>
    <row r="279" spans="1:1" ht="15.75" customHeight="1">
      <c r="A279" s="56"/>
    </row>
    <row r="280" spans="1:1" ht="15.75" customHeight="1">
      <c r="A280" s="56"/>
    </row>
    <row r="281" spans="1:1" ht="15.75" customHeight="1">
      <c r="A281" s="56"/>
    </row>
    <row r="282" spans="1:1" ht="15.75" customHeight="1">
      <c r="A282" s="56"/>
    </row>
    <row r="283" spans="1:1" ht="15.75" customHeight="1">
      <c r="A283" s="56"/>
    </row>
    <row r="284" spans="1:1" ht="15.75" customHeight="1">
      <c r="A284" s="56"/>
    </row>
    <row r="285" spans="1:1" ht="15.75" customHeight="1">
      <c r="A285" s="56"/>
    </row>
    <row r="286" spans="1:1" ht="15.75" customHeight="1">
      <c r="A286" s="56"/>
    </row>
    <row r="287" spans="1:1" ht="15.75" customHeight="1">
      <c r="A287" s="56"/>
    </row>
    <row r="288" spans="1:1" ht="15.75" customHeight="1">
      <c r="A288" s="56"/>
    </row>
    <row r="289" spans="1:1" ht="15.75" customHeight="1">
      <c r="A289" s="56"/>
    </row>
    <row r="290" spans="1:1" ht="15.75" customHeight="1">
      <c r="A290" s="56"/>
    </row>
    <row r="291" spans="1:1" ht="15.75" customHeight="1">
      <c r="A291" s="56"/>
    </row>
    <row r="292" spans="1:1" ht="15.75" customHeight="1">
      <c r="A292" s="56"/>
    </row>
    <row r="293" spans="1:1" ht="15.75" customHeight="1">
      <c r="A293" s="56"/>
    </row>
    <row r="294" spans="1:1" ht="15.75" customHeight="1">
      <c r="A294" s="56"/>
    </row>
    <row r="295" spans="1:1" ht="15.75" customHeight="1">
      <c r="A295" s="56"/>
    </row>
    <row r="296" spans="1:1" ht="15.75" customHeight="1">
      <c r="A296" s="56"/>
    </row>
    <row r="297" spans="1:1" ht="15.75" customHeight="1">
      <c r="A297" s="56"/>
    </row>
    <row r="298" spans="1:1" ht="15.75" customHeight="1">
      <c r="A298" s="56"/>
    </row>
    <row r="299" spans="1:1" ht="15.75" customHeight="1">
      <c r="A299" s="56"/>
    </row>
    <row r="300" spans="1:1" ht="15.75" customHeight="1">
      <c r="A300" s="56"/>
    </row>
    <row r="301" spans="1:1" ht="15.75" customHeight="1">
      <c r="A301" s="56"/>
    </row>
    <row r="302" spans="1:1" ht="15.75" customHeight="1">
      <c r="A302" s="56"/>
    </row>
    <row r="303" spans="1:1" ht="15.75" customHeight="1">
      <c r="A303" s="56"/>
    </row>
    <row r="304" spans="1:1" ht="15.75" customHeight="1">
      <c r="A304" s="56"/>
    </row>
    <row r="305" spans="1:1" ht="15.75" customHeight="1">
      <c r="A305" s="56"/>
    </row>
    <row r="306" spans="1:1" ht="15.75" customHeight="1">
      <c r="A306" s="56"/>
    </row>
    <row r="307" spans="1:1" ht="15.75" customHeight="1">
      <c r="A307" s="56"/>
    </row>
    <row r="308" spans="1:1" ht="15.75" customHeight="1">
      <c r="A308" s="56"/>
    </row>
    <row r="309" spans="1:1" ht="15.75" customHeight="1">
      <c r="A309" s="56"/>
    </row>
    <row r="310" spans="1:1" ht="15.75" customHeight="1">
      <c r="A310" s="56"/>
    </row>
    <row r="311" spans="1:1" ht="15.75" customHeight="1">
      <c r="A311" s="56"/>
    </row>
    <row r="312" spans="1:1" ht="15.75" customHeight="1">
      <c r="A312" s="56"/>
    </row>
    <row r="313" spans="1:1" ht="15.75" customHeight="1">
      <c r="A313" s="56"/>
    </row>
    <row r="314" spans="1:1" ht="15.75" customHeight="1">
      <c r="A314" s="56"/>
    </row>
    <row r="315" spans="1:1" ht="15.75" customHeight="1">
      <c r="A315" s="56"/>
    </row>
    <row r="316" spans="1:1" ht="15.75" customHeight="1">
      <c r="A316" s="56"/>
    </row>
    <row r="317" spans="1:1" ht="15.75" customHeight="1">
      <c r="A317" s="56"/>
    </row>
    <row r="318" spans="1:1" ht="15.75" customHeight="1">
      <c r="A318" s="56"/>
    </row>
    <row r="319" spans="1:1" ht="15.75" customHeight="1">
      <c r="A319" s="56"/>
    </row>
    <row r="320" spans="1:1" ht="15.75" customHeight="1">
      <c r="A320" s="56"/>
    </row>
    <row r="321" spans="1:1" ht="15.75" customHeight="1">
      <c r="A321" s="56"/>
    </row>
    <row r="322" spans="1:1" ht="15.75" customHeight="1">
      <c r="A322" s="56"/>
    </row>
    <row r="323" spans="1:1" ht="15.75" customHeight="1">
      <c r="A323" s="56"/>
    </row>
    <row r="324" spans="1:1" ht="15.75" customHeight="1">
      <c r="A324" s="56"/>
    </row>
    <row r="325" spans="1:1" ht="15.75" customHeight="1">
      <c r="A325" s="56"/>
    </row>
    <row r="326" spans="1:1" ht="15.75" customHeight="1">
      <c r="A326" s="56"/>
    </row>
    <row r="327" spans="1:1" ht="15.75" customHeight="1">
      <c r="A327" s="56"/>
    </row>
    <row r="328" spans="1:1" ht="15.75" customHeight="1">
      <c r="A328" s="56"/>
    </row>
    <row r="329" spans="1:1" ht="15.75" customHeight="1">
      <c r="A329" s="56"/>
    </row>
    <row r="330" spans="1:1" ht="15.75" customHeight="1">
      <c r="A330" s="56"/>
    </row>
    <row r="331" spans="1:1" ht="15.75" customHeight="1">
      <c r="A331" s="56"/>
    </row>
    <row r="332" spans="1:1" ht="15.75" customHeight="1">
      <c r="A332" s="56"/>
    </row>
    <row r="333" spans="1:1" ht="15.75" customHeight="1">
      <c r="A333" s="56"/>
    </row>
    <row r="334" spans="1:1" ht="15.75" customHeight="1">
      <c r="A334" s="56"/>
    </row>
    <row r="335" spans="1:1" ht="15.75" customHeight="1">
      <c r="A335" s="56"/>
    </row>
    <row r="336" spans="1:1" ht="15.75" customHeight="1">
      <c r="A336" s="56"/>
    </row>
    <row r="337" spans="1:1" ht="15.75" customHeight="1">
      <c r="A337" s="56"/>
    </row>
    <row r="338" spans="1:1" ht="15.75" customHeight="1">
      <c r="A338" s="56"/>
    </row>
    <row r="339" spans="1:1" ht="15.75" customHeight="1">
      <c r="A339" s="56"/>
    </row>
    <row r="340" spans="1:1" ht="15.75" customHeight="1">
      <c r="A340" s="56"/>
    </row>
    <row r="341" spans="1:1" ht="15.75" customHeight="1">
      <c r="A341" s="56"/>
    </row>
    <row r="342" spans="1:1" ht="15.75" customHeight="1">
      <c r="A342" s="56"/>
    </row>
    <row r="343" spans="1:1" ht="15.75" customHeight="1">
      <c r="A343" s="56"/>
    </row>
    <row r="344" spans="1:1" ht="15.75" customHeight="1">
      <c r="A344" s="56"/>
    </row>
    <row r="345" spans="1:1" ht="15.75" customHeight="1">
      <c r="A345" s="56"/>
    </row>
    <row r="346" spans="1:1" ht="15.75" customHeight="1">
      <c r="A346" s="56"/>
    </row>
    <row r="347" spans="1:1" ht="15.75" customHeight="1">
      <c r="A347" s="56"/>
    </row>
    <row r="348" spans="1:1" ht="15.75" customHeight="1">
      <c r="A348" s="56"/>
    </row>
    <row r="349" spans="1:1" ht="15.75" customHeight="1">
      <c r="A349" s="56"/>
    </row>
    <row r="350" spans="1:1" ht="15.75" customHeight="1">
      <c r="A350" s="56"/>
    </row>
    <row r="351" spans="1:1" ht="15.75" customHeight="1">
      <c r="A351" s="56"/>
    </row>
    <row r="352" spans="1:1" ht="15.75" customHeight="1">
      <c r="A352" s="56"/>
    </row>
    <row r="353" spans="1:1" ht="15.75" customHeight="1">
      <c r="A353" s="56"/>
    </row>
    <row r="354" spans="1:1" ht="15.75" customHeight="1">
      <c r="A354" s="56"/>
    </row>
    <row r="355" spans="1:1" ht="15.75" customHeight="1">
      <c r="A355" s="56"/>
    </row>
    <row r="356" spans="1:1" ht="15.75" customHeight="1">
      <c r="A356" s="56"/>
    </row>
    <row r="357" spans="1:1" ht="15.75" customHeight="1">
      <c r="A357" s="56"/>
    </row>
    <row r="358" spans="1:1" ht="15.75" customHeight="1">
      <c r="A358" s="56"/>
    </row>
    <row r="359" spans="1:1" ht="15.75" customHeight="1">
      <c r="A359" s="56"/>
    </row>
    <row r="360" spans="1:1" ht="15.75" customHeight="1">
      <c r="A360" s="56"/>
    </row>
    <row r="361" spans="1:1" ht="15.75" customHeight="1">
      <c r="A361" s="56"/>
    </row>
    <row r="362" spans="1:1" ht="15.75" customHeight="1">
      <c r="A362" s="56"/>
    </row>
    <row r="363" spans="1:1" ht="15.75" customHeight="1">
      <c r="A363" s="56"/>
    </row>
    <row r="364" spans="1:1" ht="15.75" customHeight="1">
      <c r="A364" s="56"/>
    </row>
    <row r="365" spans="1:1" ht="15.75" customHeight="1">
      <c r="A365" s="56"/>
    </row>
    <row r="366" spans="1:1" ht="15.75" customHeight="1">
      <c r="A366" s="56"/>
    </row>
    <row r="367" spans="1:1" ht="15.75" customHeight="1">
      <c r="A367" s="56"/>
    </row>
    <row r="368" spans="1:1" ht="15.75" customHeight="1">
      <c r="A368" s="56"/>
    </row>
    <row r="369" spans="1:1" ht="15.75" customHeight="1">
      <c r="A369" s="56"/>
    </row>
    <row r="370" spans="1:1" ht="15.75" customHeight="1">
      <c r="A370" s="56"/>
    </row>
    <row r="371" spans="1:1" ht="15.75" customHeight="1">
      <c r="A371" s="56"/>
    </row>
    <row r="372" spans="1:1" ht="15.75" customHeight="1">
      <c r="A372" s="56"/>
    </row>
    <row r="373" spans="1:1" ht="15.75" customHeight="1">
      <c r="A373" s="56"/>
    </row>
    <row r="374" spans="1:1" ht="15.75" customHeight="1">
      <c r="A374" s="56"/>
    </row>
    <row r="375" spans="1:1" ht="15.75" customHeight="1">
      <c r="A375" s="56"/>
    </row>
    <row r="376" spans="1:1" ht="15.75" customHeight="1">
      <c r="A376" s="56"/>
    </row>
    <row r="377" spans="1:1" ht="15.75" customHeight="1">
      <c r="A377" s="56"/>
    </row>
    <row r="378" spans="1:1" ht="15.75" customHeight="1">
      <c r="A378" s="56"/>
    </row>
    <row r="379" spans="1:1" ht="15.75" customHeight="1">
      <c r="A379" s="56"/>
    </row>
    <row r="380" spans="1:1" ht="15.75" customHeight="1">
      <c r="A380" s="56"/>
    </row>
    <row r="381" spans="1:1" ht="15.75" customHeight="1">
      <c r="A381" s="56"/>
    </row>
    <row r="382" spans="1:1" ht="15.75" customHeight="1">
      <c r="A382" s="56"/>
    </row>
    <row r="383" spans="1:1" ht="15.75" customHeight="1">
      <c r="A383" s="56"/>
    </row>
    <row r="384" spans="1:1" ht="15.75" customHeight="1">
      <c r="A384" s="56"/>
    </row>
    <row r="385" spans="1:1" ht="15.75" customHeight="1">
      <c r="A385" s="56"/>
    </row>
    <row r="386" spans="1:1" ht="15.75" customHeight="1">
      <c r="A386" s="56"/>
    </row>
    <row r="387" spans="1:1" ht="15.75" customHeight="1">
      <c r="A387" s="56"/>
    </row>
    <row r="388" spans="1:1" ht="15.75" customHeight="1">
      <c r="A388" s="56"/>
    </row>
    <row r="389" spans="1:1" ht="15.75" customHeight="1">
      <c r="A389" s="56"/>
    </row>
    <row r="390" spans="1:1" ht="15.75" customHeight="1">
      <c r="A390" s="56"/>
    </row>
    <row r="391" spans="1:1" ht="15.75" customHeight="1">
      <c r="A391" s="56"/>
    </row>
    <row r="392" spans="1:1" ht="15.75" customHeight="1">
      <c r="A392" s="56"/>
    </row>
    <row r="393" spans="1:1" ht="15.75" customHeight="1">
      <c r="A393" s="56"/>
    </row>
    <row r="394" spans="1:1" ht="15.75" customHeight="1">
      <c r="A394" s="56"/>
    </row>
    <row r="395" spans="1:1" ht="15.75" customHeight="1">
      <c r="A395" s="56"/>
    </row>
    <row r="396" spans="1:1" ht="15.75" customHeight="1">
      <c r="A396" s="56"/>
    </row>
    <row r="397" spans="1:1" ht="15.75" customHeight="1">
      <c r="A397" s="56"/>
    </row>
    <row r="398" spans="1:1" ht="15.75" customHeight="1">
      <c r="A398" s="56"/>
    </row>
    <row r="399" spans="1:1" ht="15.75" customHeight="1">
      <c r="A399" s="56"/>
    </row>
    <row r="400" spans="1:1" ht="15.75" customHeight="1">
      <c r="A400" s="56"/>
    </row>
    <row r="401" spans="1:1" ht="15.75" customHeight="1">
      <c r="A401" s="56"/>
    </row>
    <row r="402" spans="1:1" ht="15.75" customHeight="1">
      <c r="A402" s="56"/>
    </row>
    <row r="403" spans="1:1" ht="15.75" customHeight="1">
      <c r="A403" s="56"/>
    </row>
    <row r="404" spans="1:1" ht="15.75" customHeight="1">
      <c r="A404" s="56"/>
    </row>
    <row r="405" spans="1:1" ht="15.75" customHeight="1">
      <c r="A405" s="56"/>
    </row>
    <row r="406" spans="1:1" ht="15.75" customHeight="1">
      <c r="A406" s="56"/>
    </row>
    <row r="407" spans="1:1" ht="15.75" customHeight="1">
      <c r="A407" s="56"/>
    </row>
    <row r="408" spans="1:1" ht="15.75" customHeight="1">
      <c r="A408" s="56"/>
    </row>
    <row r="409" spans="1:1" ht="15.75" customHeight="1">
      <c r="A409" s="56"/>
    </row>
    <row r="410" spans="1:1" ht="15.75" customHeight="1">
      <c r="A410" s="56"/>
    </row>
    <row r="411" spans="1:1" ht="15.75" customHeight="1">
      <c r="A411" s="56"/>
    </row>
    <row r="412" spans="1:1" ht="15.75" customHeight="1">
      <c r="A412" s="56"/>
    </row>
    <row r="413" spans="1:1" ht="15.75" customHeight="1">
      <c r="A413" s="56"/>
    </row>
    <row r="414" spans="1:1" ht="15.75" customHeight="1">
      <c r="A414" s="56"/>
    </row>
    <row r="415" spans="1:1" ht="15.75" customHeight="1">
      <c r="A415" s="56"/>
    </row>
    <row r="416" spans="1:1" ht="15.75" customHeight="1">
      <c r="A416" s="56"/>
    </row>
    <row r="417" spans="1:1" ht="15.75" customHeight="1">
      <c r="A417" s="56"/>
    </row>
    <row r="418" spans="1:1" ht="15.75" customHeight="1">
      <c r="A418" s="56"/>
    </row>
    <row r="419" spans="1:1" ht="15.75" customHeight="1">
      <c r="A419" s="56"/>
    </row>
    <row r="420" spans="1:1" ht="15.75" customHeight="1">
      <c r="A420" s="56"/>
    </row>
    <row r="421" spans="1:1" ht="15.75" customHeight="1">
      <c r="A421" s="56"/>
    </row>
    <row r="422" spans="1:1" ht="15.75" customHeight="1">
      <c r="A422" s="56"/>
    </row>
    <row r="423" spans="1:1" ht="15.75" customHeight="1">
      <c r="A423" s="56"/>
    </row>
    <row r="424" spans="1:1" ht="15.75" customHeight="1">
      <c r="A424" s="56"/>
    </row>
    <row r="425" spans="1:1" ht="15.75" customHeight="1">
      <c r="A425" s="56"/>
    </row>
    <row r="426" spans="1:1" ht="15.75" customHeight="1">
      <c r="A426" s="56"/>
    </row>
    <row r="427" spans="1:1" ht="15.75" customHeight="1">
      <c r="A427" s="56"/>
    </row>
    <row r="428" spans="1:1" ht="15.75" customHeight="1">
      <c r="A428" s="56"/>
    </row>
    <row r="429" spans="1:1" ht="15.75" customHeight="1">
      <c r="A429" s="56"/>
    </row>
    <row r="430" spans="1:1" ht="15.75" customHeight="1">
      <c r="A430" s="56"/>
    </row>
    <row r="431" spans="1:1" ht="15.75" customHeight="1">
      <c r="A431" s="56"/>
    </row>
    <row r="432" spans="1:1" ht="15.75" customHeight="1">
      <c r="A432" s="56"/>
    </row>
    <row r="433" spans="1:1" ht="15.75" customHeight="1">
      <c r="A433" s="56"/>
    </row>
    <row r="434" spans="1:1" ht="15.75" customHeight="1">
      <c r="A434" s="56"/>
    </row>
    <row r="435" spans="1:1" ht="15.75" customHeight="1">
      <c r="A435" s="56"/>
    </row>
    <row r="436" spans="1:1" ht="15.75" customHeight="1">
      <c r="A436" s="56"/>
    </row>
    <row r="437" spans="1:1" ht="15.75" customHeight="1">
      <c r="A437" s="56"/>
    </row>
    <row r="438" spans="1:1" ht="15.75" customHeight="1">
      <c r="A438" s="56"/>
    </row>
    <row r="439" spans="1:1" ht="15.75" customHeight="1">
      <c r="A439" s="56"/>
    </row>
    <row r="440" spans="1:1" ht="15.75" customHeight="1">
      <c r="A440" s="56"/>
    </row>
    <row r="441" spans="1:1" ht="15.75" customHeight="1">
      <c r="A441" s="56"/>
    </row>
    <row r="442" spans="1:1" ht="15.75" customHeight="1">
      <c r="A442" s="56"/>
    </row>
    <row r="443" spans="1:1" ht="15.75" customHeight="1">
      <c r="A443" s="56"/>
    </row>
    <row r="444" spans="1:1" ht="15.75" customHeight="1">
      <c r="A444" s="56"/>
    </row>
    <row r="445" spans="1:1" ht="15.75" customHeight="1">
      <c r="A445" s="56"/>
    </row>
    <row r="446" spans="1:1" ht="15.75" customHeight="1">
      <c r="A446" s="56"/>
    </row>
    <row r="447" spans="1:1" ht="15.75" customHeight="1">
      <c r="A447" s="56"/>
    </row>
    <row r="448" spans="1:1" ht="15.75" customHeight="1">
      <c r="A448" s="56"/>
    </row>
    <row r="449" spans="1:1" ht="15.75" customHeight="1">
      <c r="A449" s="56"/>
    </row>
    <row r="450" spans="1:1" ht="15.75" customHeight="1">
      <c r="A450" s="56"/>
    </row>
    <row r="451" spans="1:1" ht="15.75" customHeight="1">
      <c r="A451" s="56"/>
    </row>
    <row r="452" spans="1:1" ht="15.75" customHeight="1">
      <c r="A452" s="56"/>
    </row>
    <row r="453" spans="1:1" ht="15.75" customHeight="1">
      <c r="A453" s="56"/>
    </row>
    <row r="454" spans="1:1" ht="15.75" customHeight="1">
      <c r="A454" s="56"/>
    </row>
    <row r="455" spans="1:1" ht="15.75" customHeight="1">
      <c r="A455" s="56"/>
    </row>
    <row r="456" spans="1:1" ht="15.75" customHeight="1">
      <c r="A456" s="56"/>
    </row>
    <row r="457" spans="1:1" ht="15.75" customHeight="1">
      <c r="A457" s="56"/>
    </row>
    <row r="458" spans="1:1" ht="15.75" customHeight="1">
      <c r="A458" s="56"/>
    </row>
    <row r="459" spans="1:1" ht="15.75" customHeight="1">
      <c r="A459" s="56"/>
    </row>
    <row r="460" spans="1:1" ht="15.75" customHeight="1">
      <c r="A460" s="56"/>
    </row>
    <row r="461" spans="1:1" ht="15.75" customHeight="1">
      <c r="A461" s="56"/>
    </row>
    <row r="462" spans="1:1" ht="15.75" customHeight="1">
      <c r="A462" s="56"/>
    </row>
    <row r="463" spans="1:1" ht="15.75" customHeight="1">
      <c r="A463" s="56"/>
    </row>
    <row r="464" spans="1:1" ht="15.75" customHeight="1">
      <c r="A464" s="56"/>
    </row>
    <row r="465" spans="1:1" ht="15.75" customHeight="1">
      <c r="A465" s="56"/>
    </row>
    <row r="466" spans="1:1" ht="15.75" customHeight="1">
      <c r="A466" s="56"/>
    </row>
    <row r="467" spans="1:1" ht="15.75" customHeight="1">
      <c r="A467" s="56"/>
    </row>
    <row r="468" spans="1:1" ht="15.75" customHeight="1">
      <c r="A468" s="56"/>
    </row>
    <row r="469" spans="1:1" ht="15.75" customHeight="1">
      <c r="A469" s="56"/>
    </row>
    <row r="470" spans="1:1" ht="15.75" customHeight="1">
      <c r="A470" s="56"/>
    </row>
    <row r="471" spans="1:1" ht="15.75" customHeight="1">
      <c r="A471" s="56"/>
    </row>
    <row r="472" spans="1:1" ht="15.75" customHeight="1">
      <c r="A472" s="56"/>
    </row>
    <row r="473" spans="1:1" ht="15.75" customHeight="1">
      <c r="A473" s="56"/>
    </row>
    <row r="474" spans="1:1" ht="15.75" customHeight="1">
      <c r="A474" s="56"/>
    </row>
    <row r="475" spans="1:1" ht="15.75" customHeight="1">
      <c r="A475" s="56"/>
    </row>
    <row r="476" spans="1:1" ht="15.75" customHeight="1">
      <c r="A476" s="56"/>
    </row>
    <row r="477" spans="1:1" ht="15.75" customHeight="1">
      <c r="A477" s="56"/>
    </row>
    <row r="478" spans="1:1" ht="15.75" customHeight="1">
      <c r="A478" s="56"/>
    </row>
    <row r="479" spans="1:1" ht="15.75" customHeight="1">
      <c r="A479" s="56"/>
    </row>
    <row r="480" spans="1:1" ht="15.75" customHeight="1">
      <c r="A480" s="56"/>
    </row>
    <row r="481" spans="1:1" ht="15.75" customHeight="1">
      <c r="A481" s="56"/>
    </row>
    <row r="482" spans="1:1" ht="15.75" customHeight="1">
      <c r="A482" s="56"/>
    </row>
    <row r="483" spans="1:1" ht="15.75" customHeight="1">
      <c r="A483" s="56"/>
    </row>
    <row r="484" spans="1:1" ht="15.75" customHeight="1">
      <c r="A484" s="56"/>
    </row>
    <row r="485" spans="1:1" ht="15.75" customHeight="1">
      <c r="A485" s="56"/>
    </row>
    <row r="486" spans="1:1" ht="15.75" customHeight="1">
      <c r="A486" s="56"/>
    </row>
    <row r="487" spans="1:1" ht="15.75" customHeight="1">
      <c r="A487" s="56"/>
    </row>
    <row r="488" spans="1:1" ht="15.75" customHeight="1">
      <c r="A488" s="56"/>
    </row>
    <row r="489" spans="1:1" ht="15.75" customHeight="1">
      <c r="A489" s="56"/>
    </row>
    <row r="490" spans="1:1" ht="15.75" customHeight="1">
      <c r="A490" s="56"/>
    </row>
    <row r="491" spans="1:1" ht="15.75" customHeight="1">
      <c r="A491" s="56"/>
    </row>
    <row r="492" spans="1:1" ht="15.75" customHeight="1">
      <c r="A492" s="56"/>
    </row>
    <row r="493" spans="1:1" ht="15.75" customHeight="1">
      <c r="A493" s="56"/>
    </row>
    <row r="494" spans="1:1" ht="15.75" customHeight="1">
      <c r="A494" s="56"/>
    </row>
    <row r="495" spans="1:1" ht="15.75" customHeight="1">
      <c r="A495" s="56"/>
    </row>
    <row r="496" spans="1:1" ht="15.75" customHeight="1">
      <c r="A496" s="56"/>
    </row>
    <row r="497" spans="1:1" ht="15.75" customHeight="1">
      <c r="A497" s="56"/>
    </row>
    <row r="498" spans="1:1" ht="15.75" customHeight="1">
      <c r="A498" s="56"/>
    </row>
    <row r="499" spans="1:1" ht="15.75" customHeight="1">
      <c r="A499" s="56"/>
    </row>
    <row r="500" spans="1:1" ht="15.75" customHeight="1">
      <c r="A500" s="56"/>
    </row>
    <row r="501" spans="1:1" ht="15.75" customHeight="1">
      <c r="A501" s="56"/>
    </row>
    <row r="502" spans="1:1" ht="15.75" customHeight="1">
      <c r="A502" s="56"/>
    </row>
    <row r="503" spans="1:1" ht="15.75" customHeight="1">
      <c r="A503" s="56"/>
    </row>
    <row r="504" spans="1:1" ht="15.75" customHeight="1">
      <c r="A504" s="56"/>
    </row>
    <row r="505" spans="1:1" ht="15.75" customHeight="1">
      <c r="A505" s="56"/>
    </row>
    <row r="506" spans="1:1" ht="15.75" customHeight="1">
      <c r="A506" s="56"/>
    </row>
    <row r="507" spans="1:1" ht="15.75" customHeight="1">
      <c r="A507" s="56"/>
    </row>
    <row r="508" spans="1:1" ht="15.75" customHeight="1">
      <c r="A508" s="56"/>
    </row>
    <row r="509" spans="1:1" ht="15.75" customHeight="1">
      <c r="A509" s="56"/>
    </row>
    <row r="510" spans="1:1" ht="15.75" customHeight="1">
      <c r="A510" s="56"/>
    </row>
    <row r="511" spans="1:1" ht="15.75" customHeight="1">
      <c r="A511" s="56"/>
    </row>
    <row r="512" spans="1:1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</sheetData>
  <mergeCells count="12">
    <mergeCell ref="B18:B19"/>
    <mergeCell ref="C18:C19"/>
    <mergeCell ref="D18:D19"/>
    <mergeCell ref="E18:E19"/>
    <mergeCell ref="F18:F19"/>
    <mergeCell ref="B17:F17"/>
    <mergeCell ref="B2:F2"/>
    <mergeCell ref="B3:B4"/>
    <mergeCell ref="C3:C4"/>
    <mergeCell ref="D3:D4"/>
    <mergeCell ref="E3:E4"/>
    <mergeCell ref="F3:F4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9"/>
  <sheetViews>
    <sheetView workbookViewId="0">
      <pane xSplit="5" topLeftCell="F1" activePane="topRight" state="frozen"/>
      <selection pane="topRight" activeCell="K16" sqref="K16"/>
    </sheetView>
  </sheetViews>
  <sheetFormatPr defaultColWidth="12.5703125" defaultRowHeight="15" customHeight="1"/>
  <cols>
    <col min="1" max="1" width="13.7109375" customWidth="1"/>
    <col min="2" max="2" width="24.5703125" customWidth="1"/>
    <col min="3" max="3" width="22" customWidth="1"/>
    <col min="4" max="4" width="15" customWidth="1"/>
    <col min="5" max="5" width="24.42578125" customWidth="1"/>
  </cols>
  <sheetData>
    <row r="1" spans="1:18">
      <c r="A1" s="85" t="s">
        <v>65</v>
      </c>
      <c r="B1" s="86" t="s">
        <v>66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8">
      <c r="A2" s="88" t="s">
        <v>67</v>
      </c>
      <c r="B2" s="89">
        <f>SUMIF(E13:E56,"DINHEIRO",D13:D56)</f>
        <v>1671.9900000000002</v>
      </c>
      <c r="C2" s="90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8">
      <c r="A3" s="88" t="s">
        <v>68</v>
      </c>
      <c r="B3" s="91">
        <f>SUMIF(E13:E56,"REFEIÇÃO",D13:D56)</f>
        <v>561.63</v>
      </c>
      <c r="C3" s="90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>
      <c r="A4" s="92" t="s">
        <v>69</v>
      </c>
      <c r="B4" s="93">
        <f>SUM(B2:B3)</f>
        <v>2233.6200000000003</v>
      </c>
      <c r="C4" s="90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  <row r="5" spans="1:18">
      <c r="A5" s="94"/>
      <c r="B5" s="95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</row>
    <row r="6" spans="1:18">
      <c r="A6" s="85" t="s">
        <v>65</v>
      </c>
      <c r="B6" s="86" t="s">
        <v>70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</row>
    <row r="7" spans="1:18">
      <c r="A7" s="88" t="s">
        <v>67</v>
      </c>
      <c r="B7" s="93">
        <f>SUMIF(E57:E80,"DINHEIRO",D57:D80)</f>
        <v>330.93</v>
      </c>
      <c r="C7" s="90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</row>
    <row r="8" spans="1:18">
      <c r="A8" s="88" t="s">
        <v>68</v>
      </c>
      <c r="B8" s="93">
        <f ca="1">SUMIF(D57:E80,"REFEIÇÃO",D57:D80)</f>
        <v>0</v>
      </c>
      <c r="C8" s="90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</row>
    <row r="9" spans="1:18" ht="18" customHeight="1">
      <c r="A9" s="92" t="s">
        <v>69</v>
      </c>
      <c r="B9" s="93">
        <f ca="1">SUM(B7+B8)</f>
        <v>330.93</v>
      </c>
      <c r="C9" s="90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</row>
    <row r="10" spans="1:18">
      <c r="A10" s="96"/>
      <c r="B10" s="9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</row>
    <row r="11" spans="1:18">
      <c r="A11" s="96"/>
      <c r="B11" s="98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</row>
    <row r="12" spans="1:18" ht="22.5" customHeight="1">
      <c r="A12" s="58" t="s">
        <v>71</v>
      </c>
      <c r="B12" s="58" t="s">
        <v>72</v>
      </c>
      <c r="C12" s="58" t="s">
        <v>73</v>
      </c>
      <c r="D12" s="99" t="s">
        <v>74</v>
      </c>
      <c r="E12" s="58" t="s">
        <v>75</v>
      </c>
      <c r="F12" s="58" t="s">
        <v>76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</row>
    <row r="13" spans="1:18" ht="22.5" customHeight="1">
      <c r="A13" s="101" t="s">
        <v>77</v>
      </c>
      <c r="B13" s="102" t="s">
        <v>4</v>
      </c>
      <c r="C13" s="103" t="s">
        <v>78</v>
      </c>
      <c r="D13" s="104">
        <v>20</v>
      </c>
      <c r="E13" s="102" t="s">
        <v>67</v>
      </c>
      <c r="F13" s="102" t="str">
        <f t="shared" ref="F13:F64" si="0">IF(D13&gt;100,"ATENÇÃO","OK")</f>
        <v>OK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</row>
    <row r="14" spans="1:18" ht="22.5" customHeight="1">
      <c r="A14" s="101" t="s">
        <v>77</v>
      </c>
      <c r="B14" s="102" t="s">
        <v>4</v>
      </c>
      <c r="C14" s="103" t="s">
        <v>79</v>
      </c>
      <c r="D14" s="104">
        <v>30</v>
      </c>
      <c r="E14" s="102" t="s">
        <v>67</v>
      </c>
      <c r="F14" s="102" t="str">
        <f t="shared" si="0"/>
        <v>OK</v>
      </c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</row>
    <row r="15" spans="1:18" ht="22.5" customHeight="1">
      <c r="A15" s="101" t="s">
        <v>77</v>
      </c>
      <c r="B15" s="102" t="s">
        <v>4</v>
      </c>
      <c r="C15" s="103" t="s">
        <v>80</v>
      </c>
      <c r="D15" s="104">
        <v>125.79</v>
      </c>
      <c r="E15" s="102" t="s">
        <v>67</v>
      </c>
      <c r="F15" s="102" t="str">
        <f t="shared" si="0"/>
        <v>ATENÇÃO</v>
      </c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</row>
    <row r="16" spans="1:18" ht="22.5" customHeight="1">
      <c r="A16" s="101" t="s">
        <v>77</v>
      </c>
      <c r="B16" s="102" t="s">
        <v>4</v>
      </c>
      <c r="C16" s="103" t="s">
        <v>80</v>
      </c>
      <c r="D16" s="104">
        <v>63.98</v>
      </c>
      <c r="E16" s="102" t="s">
        <v>67</v>
      </c>
      <c r="F16" s="102" t="str">
        <f t="shared" si="0"/>
        <v>OK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</row>
    <row r="17" spans="1:18" ht="22.5" customHeight="1">
      <c r="A17" s="101">
        <v>46087</v>
      </c>
      <c r="B17" s="102" t="s">
        <v>4</v>
      </c>
      <c r="C17" s="103" t="s">
        <v>81</v>
      </c>
      <c r="D17" s="104">
        <v>86.44</v>
      </c>
      <c r="E17" s="102" t="s">
        <v>68</v>
      </c>
      <c r="F17" s="102" t="str">
        <f t="shared" si="0"/>
        <v>OK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</row>
    <row r="18" spans="1:18" ht="22.5" customHeight="1">
      <c r="A18" s="101">
        <v>46088</v>
      </c>
      <c r="B18" s="105" t="s">
        <v>4</v>
      </c>
      <c r="C18" s="106" t="s">
        <v>82</v>
      </c>
      <c r="D18" s="104">
        <v>51.6</v>
      </c>
      <c r="E18" s="105" t="s">
        <v>68</v>
      </c>
      <c r="F18" s="102" t="str">
        <f t="shared" si="0"/>
        <v>OK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</row>
    <row r="19" spans="1:18" ht="22.5" customHeight="1">
      <c r="A19" s="101">
        <v>46088</v>
      </c>
      <c r="B19" s="105" t="s">
        <v>4</v>
      </c>
      <c r="C19" s="106" t="s">
        <v>83</v>
      </c>
      <c r="D19" s="104">
        <v>28</v>
      </c>
      <c r="E19" s="102" t="s">
        <v>68</v>
      </c>
      <c r="F19" s="102" t="str">
        <f t="shared" si="0"/>
        <v>OK</v>
      </c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</row>
    <row r="20" spans="1:18" ht="22.5" customHeight="1">
      <c r="A20" s="101">
        <v>46088</v>
      </c>
      <c r="B20" s="102" t="s">
        <v>4</v>
      </c>
      <c r="C20" s="106" t="s">
        <v>81</v>
      </c>
      <c r="D20" s="107">
        <v>212.67</v>
      </c>
      <c r="E20" s="105" t="s">
        <v>68</v>
      </c>
      <c r="F20" s="102" t="str">
        <f t="shared" si="0"/>
        <v>ATENÇÃO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</row>
    <row r="21" spans="1:18" ht="22.5" customHeight="1">
      <c r="A21" s="101">
        <v>46088</v>
      </c>
      <c r="B21" s="105" t="s">
        <v>4</v>
      </c>
      <c r="C21" s="106" t="s">
        <v>84</v>
      </c>
      <c r="D21" s="107">
        <v>41.58</v>
      </c>
      <c r="E21" s="102" t="s">
        <v>67</v>
      </c>
      <c r="F21" s="102" t="str">
        <f t="shared" si="0"/>
        <v>OK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</row>
    <row r="22" spans="1:18" ht="22.5" customHeight="1">
      <c r="A22" s="101">
        <v>46088</v>
      </c>
      <c r="B22" s="102" t="s">
        <v>4</v>
      </c>
      <c r="C22" s="103" t="s">
        <v>85</v>
      </c>
      <c r="D22" s="104">
        <v>13.42</v>
      </c>
      <c r="E22" s="102" t="s">
        <v>67</v>
      </c>
      <c r="F22" s="102" t="str">
        <f t="shared" si="0"/>
        <v>OK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</row>
    <row r="23" spans="1:18" ht="22.5" customHeight="1">
      <c r="A23" s="101">
        <v>46089</v>
      </c>
      <c r="B23" s="102" t="s">
        <v>4</v>
      </c>
      <c r="C23" s="103" t="s">
        <v>86</v>
      </c>
      <c r="D23" s="104">
        <v>1.6</v>
      </c>
      <c r="E23" s="102" t="s">
        <v>67</v>
      </c>
      <c r="F23" s="102" t="str">
        <f t="shared" si="0"/>
        <v>OK</v>
      </c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</row>
    <row r="24" spans="1:18" ht="22.5" customHeight="1">
      <c r="A24" s="101">
        <v>46089</v>
      </c>
      <c r="B24" s="102" t="s">
        <v>4</v>
      </c>
      <c r="C24" s="103" t="s">
        <v>87</v>
      </c>
      <c r="D24" s="104">
        <v>36.68</v>
      </c>
      <c r="E24" s="102" t="s">
        <v>68</v>
      </c>
      <c r="F24" s="102" t="str">
        <f t="shared" si="0"/>
        <v>OK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</row>
    <row r="25" spans="1:18" ht="22.5" customHeight="1">
      <c r="A25" s="101">
        <v>46090</v>
      </c>
      <c r="B25" s="105" t="s">
        <v>4</v>
      </c>
      <c r="C25" s="106" t="s">
        <v>88</v>
      </c>
      <c r="D25" s="107">
        <v>296.39999999999998</v>
      </c>
      <c r="E25" s="102" t="s">
        <v>67</v>
      </c>
      <c r="F25" s="102" t="str">
        <f t="shared" si="0"/>
        <v>ATENÇÃO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</row>
    <row r="26" spans="1:18" ht="22.5" customHeight="1">
      <c r="A26" s="101">
        <v>46090</v>
      </c>
      <c r="B26" s="102" t="s">
        <v>4</v>
      </c>
      <c r="C26" s="103" t="s">
        <v>80</v>
      </c>
      <c r="D26" s="104">
        <v>83.16</v>
      </c>
      <c r="E26" s="102" t="s">
        <v>67</v>
      </c>
      <c r="F26" s="102" t="str">
        <f t="shared" si="0"/>
        <v>OK</v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</row>
    <row r="27" spans="1:18" ht="22.5" customHeight="1">
      <c r="A27" s="101">
        <v>46090</v>
      </c>
      <c r="B27" s="102" t="s">
        <v>4</v>
      </c>
      <c r="C27" s="103" t="s">
        <v>85</v>
      </c>
      <c r="D27" s="104">
        <v>13.42</v>
      </c>
      <c r="E27" s="102" t="s">
        <v>67</v>
      </c>
      <c r="F27" s="102" t="str">
        <f t="shared" si="0"/>
        <v>OK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</row>
    <row r="28" spans="1:18" ht="22.5" customHeight="1">
      <c r="A28" s="101">
        <v>46090</v>
      </c>
      <c r="B28" s="102" t="s">
        <v>4</v>
      </c>
      <c r="C28" s="103" t="s">
        <v>89</v>
      </c>
      <c r="D28" s="104">
        <v>22.47</v>
      </c>
      <c r="E28" s="102" t="s">
        <v>67</v>
      </c>
      <c r="F28" s="102" t="str">
        <f t="shared" si="0"/>
        <v>OK</v>
      </c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</row>
    <row r="29" spans="1:18" ht="22.5" customHeight="1">
      <c r="A29" s="101">
        <v>46090</v>
      </c>
      <c r="B29" s="102" t="s">
        <v>4</v>
      </c>
      <c r="C29" s="103" t="s">
        <v>81</v>
      </c>
      <c r="D29" s="104">
        <v>59.88</v>
      </c>
      <c r="E29" s="102" t="s">
        <v>68</v>
      </c>
      <c r="F29" s="102" t="str">
        <f t="shared" si="0"/>
        <v>OK</v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</row>
    <row r="30" spans="1:18" ht="22.5" customHeight="1">
      <c r="A30" s="101">
        <v>46091</v>
      </c>
      <c r="B30" s="102" t="s">
        <v>4</v>
      </c>
      <c r="C30" s="103" t="s">
        <v>81</v>
      </c>
      <c r="D30" s="104">
        <v>15.98</v>
      </c>
      <c r="E30" s="102" t="s">
        <v>68</v>
      </c>
      <c r="F30" s="102" t="str">
        <f t="shared" si="0"/>
        <v>OK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</row>
    <row r="31" spans="1:18" ht="22.5" customHeight="1">
      <c r="A31" s="101">
        <v>46093</v>
      </c>
      <c r="B31" s="102" t="s">
        <v>4</v>
      </c>
      <c r="C31" s="103" t="s">
        <v>81</v>
      </c>
      <c r="D31" s="104">
        <v>18.27</v>
      </c>
      <c r="E31" s="102" t="s">
        <v>68</v>
      </c>
      <c r="F31" s="102" t="str">
        <f t="shared" si="0"/>
        <v>OK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</row>
    <row r="32" spans="1:18" ht="22.5" customHeight="1">
      <c r="A32" s="101">
        <v>46094</v>
      </c>
      <c r="B32" s="102" t="s">
        <v>4</v>
      </c>
      <c r="C32" s="103" t="s">
        <v>81</v>
      </c>
      <c r="D32" s="104">
        <v>46.86</v>
      </c>
      <c r="E32" s="102" t="s">
        <v>67</v>
      </c>
      <c r="F32" s="102" t="str">
        <f t="shared" si="0"/>
        <v>OK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</row>
    <row r="33" spans="1:18" ht="22.5" customHeight="1">
      <c r="A33" s="101">
        <v>46094</v>
      </c>
      <c r="B33" s="102" t="s">
        <v>4</v>
      </c>
      <c r="C33" s="103" t="s">
        <v>90</v>
      </c>
      <c r="D33" s="104">
        <v>9.99</v>
      </c>
      <c r="E33" s="102" t="s">
        <v>67</v>
      </c>
      <c r="F33" s="102" t="str">
        <f t="shared" si="0"/>
        <v>OK</v>
      </c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</row>
    <row r="34" spans="1:18" ht="22.5" customHeight="1">
      <c r="A34" s="101">
        <v>46094</v>
      </c>
      <c r="B34" s="102" t="s">
        <v>4</v>
      </c>
      <c r="C34" s="103" t="s">
        <v>91</v>
      </c>
      <c r="D34" s="104">
        <v>18</v>
      </c>
      <c r="E34" s="102" t="s">
        <v>67</v>
      </c>
      <c r="F34" s="102" t="str">
        <f t="shared" si="0"/>
        <v>OK</v>
      </c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</row>
    <row r="35" spans="1:18" ht="22.5" customHeight="1">
      <c r="A35" s="101">
        <v>46094</v>
      </c>
      <c r="B35" s="102" t="s">
        <v>4</v>
      </c>
      <c r="C35" s="103" t="s">
        <v>92</v>
      </c>
      <c r="D35" s="104">
        <v>25</v>
      </c>
      <c r="E35" s="102" t="s">
        <v>67</v>
      </c>
      <c r="F35" s="102" t="str">
        <f t="shared" si="0"/>
        <v>OK</v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</row>
    <row r="36" spans="1:18" ht="22.5" customHeight="1">
      <c r="A36" s="101">
        <v>46095</v>
      </c>
      <c r="B36" s="102" t="s">
        <v>4</v>
      </c>
      <c r="C36" s="103" t="s">
        <v>81</v>
      </c>
      <c r="D36" s="104">
        <v>12.34</v>
      </c>
      <c r="E36" s="102" t="s">
        <v>68</v>
      </c>
      <c r="F36" s="102" t="str">
        <f t="shared" si="0"/>
        <v>OK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</row>
    <row r="37" spans="1:18" ht="22.5" customHeight="1">
      <c r="A37" s="101">
        <v>46097</v>
      </c>
      <c r="B37" s="102" t="s">
        <v>4</v>
      </c>
      <c r="C37" s="103" t="s">
        <v>90</v>
      </c>
      <c r="D37" s="104">
        <v>15.95</v>
      </c>
      <c r="E37" s="102" t="s">
        <v>67</v>
      </c>
      <c r="F37" s="102" t="str">
        <f t="shared" si="0"/>
        <v>OK</v>
      </c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</row>
    <row r="38" spans="1:18" ht="22.5" customHeight="1">
      <c r="A38" s="101">
        <v>46097</v>
      </c>
      <c r="B38" s="102" t="s">
        <v>4</v>
      </c>
      <c r="C38" s="103" t="s">
        <v>93</v>
      </c>
      <c r="D38" s="104">
        <v>23</v>
      </c>
      <c r="E38" s="102" t="s">
        <v>67</v>
      </c>
      <c r="F38" s="102" t="str">
        <f t="shared" si="0"/>
        <v>OK</v>
      </c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</row>
    <row r="39" spans="1:18" ht="22.5" customHeight="1">
      <c r="A39" s="101">
        <v>46097</v>
      </c>
      <c r="B39" s="102" t="s">
        <v>4</v>
      </c>
      <c r="C39" s="103" t="s">
        <v>81</v>
      </c>
      <c r="D39" s="104">
        <v>20.58</v>
      </c>
      <c r="E39" s="102" t="s">
        <v>67</v>
      </c>
      <c r="F39" s="102" t="str">
        <f t="shared" si="0"/>
        <v>OK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</row>
    <row r="40" spans="1:18" ht="22.5" customHeight="1">
      <c r="A40" s="101">
        <v>46097</v>
      </c>
      <c r="B40" s="102" t="s">
        <v>4</v>
      </c>
      <c r="C40" s="103" t="s">
        <v>94</v>
      </c>
      <c r="D40" s="104">
        <v>20</v>
      </c>
      <c r="E40" s="102" t="s">
        <v>67</v>
      </c>
      <c r="F40" s="102" t="str">
        <f t="shared" si="0"/>
        <v>OK</v>
      </c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</row>
    <row r="41" spans="1:18" ht="22.5" customHeight="1">
      <c r="A41" s="101">
        <v>46097</v>
      </c>
      <c r="B41" s="102" t="s">
        <v>4</v>
      </c>
      <c r="C41" s="103" t="s">
        <v>82</v>
      </c>
      <c r="D41" s="104">
        <v>51.6</v>
      </c>
      <c r="E41" s="102" t="s">
        <v>67</v>
      </c>
      <c r="F41" s="102" t="str">
        <f t="shared" si="0"/>
        <v>OK</v>
      </c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</row>
    <row r="42" spans="1:18" ht="22.5" customHeight="1">
      <c r="A42" s="101">
        <v>46097</v>
      </c>
      <c r="B42" s="102" t="s">
        <v>4</v>
      </c>
      <c r="C42" s="103" t="s">
        <v>81</v>
      </c>
      <c r="D42" s="104">
        <v>201.83</v>
      </c>
      <c r="E42" s="102" t="s">
        <v>67</v>
      </c>
      <c r="F42" s="102" t="str">
        <f t="shared" si="0"/>
        <v>ATENÇÃO</v>
      </c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</row>
    <row r="43" spans="1:18" ht="22.5" customHeight="1">
      <c r="A43" s="101">
        <v>46097</v>
      </c>
      <c r="B43" s="102" t="s">
        <v>4</v>
      </c>
      <c r="C43" s="103" t="s">
        <v>80</v>
      </c>
      <c r="D43" s="104">
        <v>108.42</v>
      </c>
      <c r="E43" s="102" t="s">
        <v>67</v>
      </c>
      <c r="F43" s="102" t="str">
        <f t="shared" si="0"/>
        <v>ATENÇÃO</v>
      </c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</row>
    <row r="44" spans="1:18" ht="22.5" customHeight="1">
      <c r="A44" s="101">
        <v>46097</v>
      </c>
      <c r="B44" s="102" t="s">
        <v>4</v>
      </c>
      <c r="C44" s="103" t="s">
        <v>81</v>
      </c>
      <c r="D44" s="104">
        <v>39.770000000000003</v>
      </c>
      <c r="E44" s="102" t="s">
        <v>68</v>
      </c>
      <c r="F44" s="102" t="str">
        <f t="shared" si="0"/>
        <v>OK</v>
      </c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</row>
    <row r="45" spans="1:18" ht="22.5" customHeight="1">
      <c r="A45" s="101">
        <v>46097</v>
      </c>
      <c r="B45" s="102" t="s">
        <v>4</v>
      </c>
      <c r="C45" s="103" t="s">
        <v>95</v>
      </c>
      <c r="D45" s="104">
        <v>140</v>
      </c>
      <c r="E45" s="102" t="s">
        <v>67</v>
      </c>
      <c r="F45" s="102" t="str">
        <f t="shared" si="0"/>
        <v>ATENÇÃO</v>
      </c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</row>
    <row r="46" spans="1:18" ht="22.5" customHeight="1">
      <c r="A46" s="101">
        <v>46097</v>
      </c>
      <c r="B46" s="102" t="s">
        <v>4</v>
      </c>
      <c r="C46" s="103" t="s">
        <v>81</v>
      </c>
      <c r="D46" s="104">
        <v>91.85</v>
      </c>
      <c r="E46" s="102" t="s">
        <v>67</v>
      </c>
      <c r="F46" s="102" t="str">
        <f t="shared" si="0"/>
        <v>OK</v>
      </c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</row>
    <row r="47" spans="1:18" ht="22.5" customHeight="1">
      <c r="A47" s="101">
        <v>46100</v>
      </c>
      <c r="B47" s="102" t="s">
        <v>4</v>
      </c>
      <c r="C47" s="103" t="s">
        <v>96</v>
      </c>
      <c r="D47" s="104">
        <v>13</v>
      </c>
      <c r="E47" s="102" t="s">
        <v>67</v>
      </c>
      <c r="F47" s="102" t="str">
        <f t="shared" si="0"/>
        <v>OK</v>
      </c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</row>
    <row r="48" spans="1:18" ht="22.5" customHeight="1">
      <c r="A48" s="101">
        <v>46100</v>
      </c>
      <c r="B48" s="102" t="s">
        <v>4</v>
      </c>
      <c r="C48" s="103" t="s">
        <v>97</v>
      </c>
      <c r="D48" s="104">
        <v>30</v>
      </c>
      <c r="E48" s="102" t="s">
        <v>67</v>
      </c>
      <c r="F48" s="102" t="str">
        <f t="shared" si="0"/>
        <v>OK</v>
      </c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</row>
    <row r="49" spans="1:18" ht="22.5" customHeight="1">
      <c r="A49" s="101">
        <v>46104</v>
      </c>
      <c r="B49" s="102" t="s">
        <v>4</v>
      </c>
      <c r="C49" s="103" t="s">
        <v>81</v>
      </c>
      <c r="D49" s="104">
        <v>41.14</v>
      </c>
      <c r="E49" s="102" t="s">
        <v>67</v>
      </c>
      <c r="F49" s="102" t="str">
        <f t="shared" si="0"/>
        <v>OK</v>
      </c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</row>
    <row r="50" spans="1:18" ht="22.5" customHeight="1">
      <c r="A50" s="101">
        <v>46104</v>
      </c>
      <c r="B50" s="102" t="s">
        <v>4</v>
      </c>
      <c r="C50" s="103" t="s">
        <v>98</v>
      </c>
      <c r="D50" s="104">
        <v>30</v>
      </c>
      <c r="E50" s="102" t="s">
        <v>67</v>
      </c>
      <c r="F50" s="102" t="str">
        <f t="shared" si="0"/>
        <v>OK</v>
      </c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</row>
    <row r="51" spans="1:18" ht="22.5" customHeight="1">
      <c r="A51" s="101">
        <v>46105</v>
      </c>
      <c r="B51" s="102" t="s">
        <v>4</v>
      </c>
      <c r="C51" s="103" t="s">
        <v>81</v>
      </c>
      <c r="D51" s="104">
        <v>12.99</v>
      </c>
      <c r="E51" s="102" t="s">
        <v>67</v>
      </c>
      <c r="F51" s="102" t="str">
        <f t="shared" si="0"/>
        <v>OK</v>
      </c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</row>
    <row r="52" spans="1:18" ht="22.5" customHeight="1">
      <c r="A52" s="101">
        <v>46105</v>
      </c>
      <c r="B52" s="102" t="s">
        <v>4</v>
      </c>
      <c r="C52" s="103" t="s">
        <v>93</v>
      </c>
      <c r="D52" s="104">
        <v>5</v>
      </c>
      <c r="E52" s="102" t="s">
        <v>67</v>
      </c>
      <c r="F52" s="102" t="str">
        <f t="shared" si="0"/>
        <v>OK</v>
      </c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</row>
    <row r="53" spans="1:18" ht="22.5" customHeight="1">
      <c r="A53" s="101">
        <v>46106</v>
      </c>
      <c r="B53" s="102" t="s">
        <v>4</v>
      </c>
      <c r="C53" s="103" t="s">
        <v>81</v>
      </c>
      <c r="D53" s="104">
        <v>4.99</v>
      </c>
      <c r="E53" s="102" t="s">
        <v>67</v>
      </c>
      <c r="F53" s="102" t="str">
        <f t="shared" si="0"/>
        <v>OK</v>
      </c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</row>
    <row r="54" spans="1:18" ht="22.5" customHeight="1">
      <c r="A54" s="101">
        <v>46107</v>
      </c>
      <c r="B54" s="102" t="s">
        <v>4</v>
      </c>
      <c r="C54" s="103" t="s">
        <v>99</v>
      </c>
      <c r="D54" s="104">
        <v>3</v>
      </c>
      <c r="E54" s="102" t="s">
        <v>67</v>
      </c>
      <c r="F54" s="102" t="str">
        <f t="shared" si="0"/>
        <v>OK</v>
      </c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</row>
    <row r="55" spans="1:18" ht="22.5" customHeight="1">
      <c r="A55" s="101">
        <v>46108</v>
      </c>
      <c r="B55" s="102" t="s">
        <v>4</v>
      </c>
      <c r="C55" s="103" t="s">
        <v>81</v>
      </c>
      <c r="D55" s="104">
        <v>41.91</v>
      </c>
      <c r="E55" s="102" t="s">
        <v>67</v>
      </c>
      <c r="F55" s="102" t="str">
        <f t="shared" si="0"/>
        <v>OK</v>
      </c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</row>
    <row r="56" spans="1:18" ht="22.5" customHeight="1">
      <c r="A56" s="101">
        <v>46111</v>
      </c>
      <c r="B56" s="102" t="s">
        <v>4</v>
      </c>
      <c r="C56" s="103" t="s">
        <v>81</v>
      </c>
      <c r="D56" s="104">
        <v>5.0599999999999996</v>
      </c>
      <c r="E56" s="102" t="s">
        <v>67</v>
      </c>
      <c r="F56" s="102" t="str">
        <f t="shared" si="0"/>
        <v>OK</v>
      </c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</row>
    <row r="57" spans="1:18" ht="22.5" customHeight="1">
      <c r="A57" s="101">
        <v>46113</v>
      </c>
      <c r="B57" s="102" t="s">
        <v>5</v>
      </c>
      <c r="C57" s="103" t="s">
        <v>100</v>
      </c>
      <c r="D57" s="104">
        <v>137</v>
      </c>
      <c r="E57" s="102" t="s">
        <v>67</v>
      </c>
      <c r="F57" s="102" t="str">
        <f t="shared" si="0"/>
        <v>ATENÇÃO</v>
      </c>
      <c r="G57" s="87"/>
      <c r="H57" s="87"/>
      <c r="I57" s="87"/>
      <c r="J57" s="87"/>
      <c r="K57" s="87"/>
      <c r="L57" s="108"/>
      <c r="M57" s="87"/>
      <c r="N57" s="87"/>
      <c r="O57" s="87"/>
      <c r="P57" s="87"/>
      <c r="Q57" s="87"/>
      <c r="R57" s="87"/>
    </row>
    <row r="58" spans="1:18" ht="22.5" customHeight="1">
      <c r="A58" s="101">
        <v>46113</v>
      </c>
      <c r="B58" s="102" t="s">
        <v>5</v>
      </c>
      <c r="C58" s="103" t="s">
        <v>81</v>
      </c>
      <c r="D58" s="104">
        <v>29.85</v>
      </c>
      <c r="E58" s="102" t="s">
        <v>67</v>
      </c>
      <c r="F58" s="102" t="str">
        <f t="shared" si="0"/>
        <v>OK</v>
      </c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</row>
    <row r="59" spans="1:18" ht="22.5" customHeight="1">
      <c r="A59" s="101">
        <v>46114</v>
      </c>
      <c r="B59" s="102" t="s">
        <v>5</v>
      </c>
      <c r="C59" s="103" t="s">
        <v>101</v>
      </c>
      <c r="D59" s="104">
        <v>4</v>
      </c>
      <c r="E59" s="102" t="s">
        <v>67</v>
      </c>
      <c r="F59" s="102" t="str">
        <f t="shared" si="0"/>
        <v>OK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</row>
    <row r="60" spans="1:18" ht="22.5" customHeight="1">
      <c r="A60" s="101" t="s">
        <v>102</v>
      </c>
      <c r="B60" s="102" t="s">
        <v>5</v>
      </c>
      <c r="C60" s="103" t="s">
        <v>103</v>
      </c>
      <c r="D60" s="104">
        <v>52.18</v>
      </c>
      <c r="E60" s="102" t="s">
        <v>67</v>
      </c>
      <c r="F60" s="102" t="str">
        <f t="shared" si="0"/>
        <v>OK</v>
      </c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</row>
    <row r="61" spans="1:18" ht="22.5" customHeight="1">
      <c r="A61" s="101">
        <v>46115</v>
      </c>
      <c r="B61" s="102" t="s">
        <v>5</v>
      </c>
      <c r="C61" s="103" t="s">
        <v>81</v>
      </c>
      <c r="D61" s="104">
        <v>39.4</v>
      </c>
      <c r="E61" s="102" t="s">
        <v>67</v>
      </c>
      <c r="F61" s="102" t="str">
        <f t="shared" si="0"/>
        <v>OK</v>
      </c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</row>
    <row r="62" spans="1:18" ht="22.5" customHeight="1">
      <c r="A62" s="101">
        <v>46116</v>
      </c>
      <c r="B62" s="102" t="s">
        <v>5</v>
      </c>
      <c r="C62" s="103" t="s">
        <v>104</v>
      </c>
      <c r="D62" s="104">
        <v>7</v>
      </c>
      <c r="E62" s="102" t="s">
        <v>67</v>
      </c>
      <c r="F62" s="102" t="str">
        <f t="shared" si="0"/>
        <v>OK</v>
      </c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</row>
    <row r="63" spans="1:18" ht="22.5" customHeight="1">
      <c r="A63" s="101" t="s">
        <v>105</v>
      </c>
      <c r="B63" s="102" t="s">
        <v>5</v>
      </c>
      <c r="C63" s="103" t="s">
        <v>103</v>
      </c>
      <c r="D63" s="104">
        <v>38.479999999999997</v>
      </c>
      <c r="E63" s="102" t="s">
        <v>67</v>
      </c>
      <c r="F63" s="102" t="str">
        <f t="shared" si="0"/>
        <v>OK</v>
      </c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</row>
    <row r="64" spans="1:18" ht="22.5" customHeight="1">
      <c r="A64" s="101">
        <v>46118</v>
      </c>
      <c r="B64" s="102" t="s">
        <v>5</v>
      </c>
      <c r="C64" s="103" t="s">
        <v>106</v>
      </c>
      <c r="D64" s="104">
        <v>23.02</v>
      </c>
      <c r="E64" s="102" t="s">
        <v>67</v>
      </c>
      <c r="F64" s="102" t="str">
        <f t="shared" si="0"/>
        <v>OK</v>
      </c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</row>
    <row r="65" spans="1:18" ht="22.5" hidden="1" customHeight="1">
      <c r="A65" s="101"/>
      <c r="B65" s="102"/>
      <c r="C65" s="103"/>
      <c r="D65" s="104"/>
      <c r="E65" s="102"/>
      <c r="F65" s="102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</row>
    <row r="66" spans="1:18">
      <c r="A66" s="96"/>
      <c r="B66" s="96"/>
      <c r="C66" s="87"/>
      <c r="D66" s="109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</row>
    <row r="67" spans="1:18">
      <c r="A67" s="96"/>
      <c r="B67" s="96"/>
      <c r="C67" s="87"/>
      <c r="D67" s="109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</row>
    <row r="68" spans="1:18">
      <c r="A68" s="96"/>
      <c r="B68" s="96"/>
      <c r="C68" s="87"/>
      <c r="D68" s="109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</row>
    <row r="69" spans="1:18">
      <c r="A69" s="96"/>
      <c r="B69" s="96"/>
      <c r="C69" s="87"/>
      <c r="D69" s="109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</row>
    <row r="70" spans="1:18">
      <c r="A70" s="96"/>
      <c r="B70" s="96"/>
      <c r="C70" s="87"/>
      <c r="D70" s="109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</row>
    <row r="71" spans="1:18">
      <c r="A71" s="96"/>
      <c r="B71" s="96"/>
      <c r="C71" s="87"/>
      <c r="D71" s="109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</row>
    <row r="72" spans="1:18">
      <c r="A72" s="96"/>
      <c r="B72" s="96"/>
      <c r="C72" s="87"/>
      <c r="D72" s="109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</row>
    <row r="73" spans="1:18">
      <c r="A73" s="96"/>
      <c r="B73" s="96"/>
      <c r="C73" s="87"/>
      <c r="D73" s="109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</row>
    <row r="74" spans="1:18">
      <c r="A74" s="96"/>
      <c r="B74" s="96"/>
      <c r="C74" s="87"/>
      <c r="D74" s="109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</row>
    <row r="75" spans="1:18">
      <c r="A75" s="96"/>
      <c r="B75" s="96"/>
      <c r="C75" s="87"/>
      <c r="D75" s="109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</row>
    <row r="76" spans="1:18">
      <c r="A76" s="96"/>
      <c r="B76" s="96"/>
      <c r="C76" s="87"/>
      <c r="D76" s="109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</row>
    <row r="77" spans="1:18">
      <c r="A77" s="96"/>
      <c r="B77" s="96"/>
      <c r="C77" s="87"/>
      <c r="D77" s="109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</row>
    <row r="78" spans="1:18">
      <c r="A78" s="96"/>
      <c r="B78" s="96"/>
      <c r="C78" s="87"/>
      <c r="D78" s="109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</row>
    <row r="79" spans="1:18">
      <c r="A79" s="96"/>
      <c r="B79" s="96"/>
      <c r="C79" s="87"/>
      <c r="D79" s="109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</row>
    <row r="80" spans="1:18">
      <c r="A80" s="96"/>
      <c r="B80" s="96"/>
      <c r="C80" s="87"/>
      <c r="D80" s="109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</row>
    <row r="81" spans="1:18">
      <c r="A81" s="96"/>
      <c r="B81" s="96"/>
      <c r="C81" s="87"/>
      <c r="D81" s="109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</row>
    <row r="82" spans="1:18">
      <c r="A82" s="96"/>
      <c r="B82" s="96"/>
      <c r="C82" s="87"/>
      <c r="D82" s="109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</row>
    <row r="83" spans="1:18">
      <c r="A83" s="96"/>
      <c r="B83" s="96"/>
      <c r="C83" s="87"/>
      <c r="D83" s="109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</row>
    <row r="84" spans="1:18">
      <c r="A84" s="96"/>
      <c r="B84" s="96"/>
      <c r="C84" s="87"/>
      <c r="D84" s="109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</row>
    <row r="85" spans="1:18">
      <c r="A85" s="96"/>
      <c r="B85" s="96"/>
      <c r="C85" s="87"/>
      <c r="D85" s="109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</row>
    <row r="86" spans="1:18">
      <c r="A86" s="96"/>
      <c r="B86" s="96"/>
      <c r="C86" s="87"/>
      <c r="D86" s="109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</row>
    <row r="87" spans="1:18">
      <c r="A87" s="96"/>
      <c r="B87" s="96"/>
      <c r="C87" s="87"/>
      <c r="D87" s="109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</row>
    <row r="88" spans="1:18">
      <c r="A88" s="96"/>
      <c r="B88" s="96"/>
      <c r="C88" s="87"/>
      <c r="D88" s="109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</row>
    <row r="89" spans="1:18">
      <c r="A89" s="96"/>
      <c r="B89" s="96"/>
      <c r="C89" s="87"/>
      <c r="D89" s="109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</row>
    <row r="90" spans="1:18">
      <c r="A90" s="96"/>
      <c r="B90" s="96"/>
      <c r="C90" s="87"/>
      <c r="D90" s="109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</row>
    <row r="91" spans="1:18">
      <c r="A91" s="96"/>
      <c r="B91" s="96"/>
      <c r="C91" s="87"/>
      <c r="D91" s="109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</row>
    <row r="92" spans="1:18">
      <c r="A92" s="96"/>
      <c r="B92" s="96"/>
      <c r="C92" s="87"/>
      <c r="D92" s="109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</row>
    <row r="93" spans="1:18">
      <c r="A93" s="96"/>
      <c r="B93" s="96"/>
      <c r="C93" s="87"/>
      <c r="D93" s="109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</row>
    <row r="94" spans="1:18">
      <c r="A94" s="96"/>
      <c r="B94" s="96"/>
      <c r="C94" s="87"/>
      <c r="D94" s="109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</row>
    <row r="95" spans="1:18">
      <c r="A95" s="96"/>
      <c r="B95" s="96"/>
      <c r="C95" s="87"/>
      <c r="D95" s="109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</row>
    <row r="96" spans="1:18">
      <c r="A96" s="96"/>
      <c r="B96" s="96"/>
      <c r="C96" s="87"/>
      <c r="D96" s="109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</row>
    <row r="97" spans="1:18">
      <c r="A97" s="96"/>
      <c r="B97" s="96"/>
      <c r="C97" s="87"/>
      <c r="D97" s="109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</row>
    <row r="98" spans="1:18">
      <c r="A98" s="96"/>
      <c r="B98" s="96"/>
      <c r="C98" s="87"/>
      <c r="D98" s="109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</row>
    <row r="99" spans="1:18">
      <c r="A99" s="96"/>
      <c r="B99" s="96"/>
      <c r="C99" s="87"/>
      <c r="D99" s="109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</row>
    <row r="100" spans="1:18">
      <c r="A100" s="96"/>
      <c r="B100" s="96"/>
      <c r="C100" s="87"/>
      <c r="D100" s="109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</row>
    <row r="101" spans="1:18">
      <c r="A101" s="96"/>
      <c r="B101" s="96"/>
      <c r="C101" s="87"/>
      <c r="D101" s="109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</row>
    <row r="102" spans="1:18">
      <c r="A102" s="96"/>
      <c r="B102" s="96"/>
      <c r="C102" s="87"/>
      <c r="D102" s="109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</row>
    <row r="103" spans="1:18">
      <c r="A103" s="96"/>
      <c r="B103" s="96"/>
      <c r="C103" s="87"/>
      <c r="D103" s="109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</row>
    <row r="104" spans="1:18">
      <c r="A104" s="96"/>
      <c r="B104" s="96"/>
      <c r="C104" s="87"/>
      <c r="D104" s="109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</row>
    <row r="105" spans="1:18">
      <c r="A105" s="96"/>
      <c r="B105" s="96"/>
      <c r="C105" s="87"/>
      <c r="D105" s="109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</row>
    <row r="106" spans="1:18">
      <c r="A106" s="96"/>
      <c r="B106" s="96"/>
      <c r="C106" s="87"/>
      <c r="D106" s="109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</row>
    <row r="107" spans="1:18">
      <c r="A107" s="96"/>
      <c r="B107" s="96"/>
      <c r="C107" s="87"/>
      <c r="D107" s="109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</row>
    <row r="108" spans="1:18">
      <c r="A108" s="96"/>
      <c r="B108" s="96"/>
      <c r="C108" s="87"/>
      <c r="D108" s="109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</row>
    <row r="109" spans="1:18">
      <c r="A109" s="96"/>
      <c r="B109" s="96"/>
      <c r="C109" s="87"/>
      <c r="D109" s="109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</row>
    <row r="110" spans="1:18">
      <c r="A110" s="96"/>
      <c r="B110" s="96"/>
      <c r="C110" s="87"/>
      <c r="D110" s="109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</row>
    <row r="111" spans="1:18">
      <c r="A111" s="96"/>
      <c r="B111" s="96"/>
      <c r="C111" s="87"/>
      <c r="D111" s="109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</row>
    <row r="112" spans="1:18">
      <c r="A112" s="96"/>
      <c r="B112" s="96"/>
      <c r="C112" s="87"/>
      <c r="D112" s="109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</row>
    <row r="113" spans="1:18">
      <c r="A113" s="96"/>
      <c r="B113" s="96"/>
      <c r="C113" s="87"/>
      <c r="D113" s="109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</row>
    <row r="114" spans="1:18">
      <c r="A114" s="96"/>
      <c r="B114" s="96"/>
      <c r="C114" s="87"/>
      <c r="D114" s="109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</row>
    <row r="115" spans="1:18">
      <c r="A115" s="96"/>
      <c r="B115" s="96"/>
      <c r="C115" s="87"/>
      <c r="D115" s="109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</row>
    <row r="116" spans="1:18">
      <c r="A116" s="96"/>
      <c r="B116" s="96"/>
      <c r="C116" s="87"/>
      <c r="D116" s="109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</row>
    <row r="117" spans="1:18">
      <c r="A117" s="96"/>
      <c r="B117" s="96"/>
      <c r="C117" s="87"/>
      <c r="D117" s="109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</row>
    <row r="118" spans="1:18">
      <c r="A118" s="96"/>
      <c r="B118" s="96"/>
      <c r="C118" s="87"/>
      <c r="D118" s="109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</row>
    <row r="119" spans="1:18">
      <c r="A119" s="96"/>
      <c r="B119" s="96"/>
      <c r="C119" s="87"/>
      <c r="D119" s="109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</row>
    <row r="120" spans="1:18">
      <c r="A120" s="96"/>
      <c r="B120" s="96"/>
      <c r="C120" s="87"/>
      <c r="D120" s="109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</row>
    <row r="121" spans="1:18">
      <c r="A121" s="96"/>
      <c r="B121" s="96"/>
      <c r="C121" s="87"/>
      <c r="D121" s="109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</row>
    <row r="122" spans="1:18">
      <c r="A122" s="96"/>
      <c r="B122" s="96"/>
      <c r="C122" s="87"/>
      <c r="D122" s="109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</row>
    <row r="123" spans="1:18">
      <c r="A123" s="96"/>
      <c r="B123" s="96"/>
      <c r="C123" s="87"/>
      <c r="D123" s="109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</row>
    <row r="124" spans="1:18">
      <c r="A124" s="96"/>
      <c r="B124" s="96"/>
      <c r="C124" s="87"/>
      <c r="D124" s="109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</row>
    <row r="125" spans="1:18">
      <c r="A125" s="96"/>
      <c r="B125" s="96"/>
      <c r="C125" s="87"/>
      <c r="D125" s="109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</row>
    <row r="126" spans="1:18">
      <c r="A126" s="96"/>
      <c r="B126" s="96"/>
      <c r="C126" s="87"/>
      <c r="D126" s="109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</row>
    <row r="127" spans="1:18">
      <c r="A127" s="96"/>
      <c r="B127" s="96"/>
      <c r="C127" s="87"/>
      <c r="D127" s="109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</row>
    <row r="128" spans="1:18">
      <c r="A128" s="96"/>
      <c r="B128" s="96"/>
      <c r="C128" s="87"/>
      <c r="D128" s="109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</row>
    <row r="129" spans="1:18">
      <c r="A129" s="96"/>
      <c r="B129" s="96"/>
      <c r="C129" s="87"/>
      <c r="D129" s="109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</row>
    <row r="130" spans="1:18">
      <c r="A130" s="96"/>
      <c r="B130" s="96"/>
      <c r="C130" s="87"/>
      <c r="D130" s="109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</row>
    <row r="131" spans="1:18">
      <c r="A131" s="96"/>
      <c r="B131" s="96"/>
      <c r="C131" s="87"/>
      <c r="D131" s="109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</row>
    <row r="132" spans="1:18">
      <c r="A132" s="96"/>
      <c r="B132" s="96"/>
      <c r="C132" s="87"/>
      <c r="D132" s="109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</row>
    <row r="133" spans="1:18">
      <c r="A133" s="96"/>
      <c r="B133" s="96"/>
      <c r="C133" s="87"/>
      <c r="D133" s="109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</row>
    <row r="134" spans="1:18">
      <c r="A134" s="96"/>
      <c r="B134" s="96"/>
      <c r="C134" s="87"/>
      <c r="D134" s="109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</row>
    <row r="135" spans="1:18">
      <c r="A135" s="96"/>
      <c r="B135" s="96"/>
      <c r="C135" s="87"/>
      <c r="D135" s="109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</row>
    <row r="136" spans="1:18">
      <c r="A136" s="96"/>
      <c r="B136" s="96"/>
      <c r="C136" s="87"/>
      <c r="D136" s="109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</row>
    <row r="137" spans="1:18">
      <c r="A137" s="96"/>
      <c r="B137" s="96"/>
      <c r="C137" s="87"/>
      <c r="D137" s="109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</row>
    <row r="138" spans="1:18">
      <c r="A138" s="96"/>
      <c r="B138" s="96"/>
      <c r="C138" s="87"/>
      <c r="D138" s="109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</row>
    <row r="139" spans="1:18">
      <c r="A139" s="96"/>
      <c r="B139" s="96"/>
      <c r="C139" s="87"/>
      <c r="D139" s="109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</row>
    <row r="140" spans="1:18">
      <c r="A140" s="96"/>
      <c r="B140" s="96"/>
      <c r="C140" s="87"/>
      <c r="D140" s="109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</row>
    <row r="141" spans="1:18">
      <c r="A141" s="96"/>
      <c r="B141" s="96"/>
      <c r="C141" s="87"/>
      <c r="D141" s="109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</row>
    <row r="142" spans="1:18">
      <c r="A142" s="96"/>
      <c r="B142" s="96"/>
      <c r="C142" s="87"/>
      <c r="D142" s="109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</row>
    <row r="143" spans="1:18">
      <c r="A143" s="96"/>
      <c r="B143" s="96"/>
      <c r="C143" s="87"/>
      <c r="D143" s="109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</row>
    <row r="144" spans="1:18">
      <c r="A144" s="96"/>
      <c r="B144" s="96"/>
      <c r="C144" s="87"/>
      <c r="D144" s="109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</row>
    <row r="145" spans="1:18">
      <c r="A145" s="96"/>
      <c r="B145" s="96"/>
      <c r="C145" s="87"/>
      <c r="D145" s="109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</row>
    <row r="146" spans="1:18">
      <c r="A146" s="96"/>
      <c r="B146" s="96"/>
      <c r="C146" s="87"/>
      <c r="D146" s="109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</row>
    <row r="147" spans="1:18">
      <c r="A147" s="96"/>
      <c r="B147" s="96"/>
      <c r="C147" s="87"/>
      <c r="D147" s="109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</row>
    <row r="148" spans="1:18">
      <c r="A148" s="96"/>
      <c r="B148" s="96"/>
      <c r="C148" s="87"/>
      <c r="D148" s="109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</row>
    <row r="149" spans="1:18">
      <c r="A149" s="96"/>
      <c r="B149" s="96"/>
      <c r="C149" s="87"/>
      <c r="D149" s="109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</row>
    <row r="150" spans="1:18">
      <c r="A150" s="96"/>
      <c r="B150" s="96"/>
      <c r="C150" s="87"/>
      <c r="D150" s="109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</row>
    <row r="151" spans="1:18">
      <c r="A151" s="96"/>
      <c r="B151" s="96"/>
      <c r="C151" s="87"/>
      <c r="D151" s="109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</row>
    <row r="152" spans="1:18">
      <c r="A152" s="96"/>
      <c r="B152" s="96"/>
      <c r="C152" s="87"/>
      <c r="D152" s="109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</row>
    <row r="153" spans="1:18">
      <c r="A153" s="96"/>
      <c r="B153" s="96"/>
      <c r="C153" s="87"/>
      <c r="D153" s="109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</row>
    <row r="154" spans="1:18">
      <c r="A154" s="96"/>
      <c r="B154" s="96"/>
      <c r="C154" s="87"/>
      <c r="D154" s="109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</row>
    <row r="155" spans="1:18">
      <c r="A155" s="96"/>
      <c r="B155" s="96"/>
      <c r="C155" s="87"/>
      <c r="D155" s="109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</row>
    <row r="156" spans="1:18">
      <c r="A156" s="96"/>
      <c r="B156" s="96"/>
      <c r="C156" s="87"/>
      <c r="D156" s="109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</row>
    <row r="157" spans="1:18">
      <c r="A157" s="96"/>
      <c r="B157" s="96"/>
      <c r="C157" s="87"/>
      <c r="D157" s="109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</row>
    <row r="158" spans="1:18">
      <c r="A158" s="96"/>
      <c r="B158" s="96"/>
      <c r="C158" s="87"/>
      <c r="D158" s="109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</row>
    <row r="159" spans="1:18">
      <c r="A159" s="96"/>
      <c r="B159" s="96"/>
      <c r="C159" s="87"/>
      <c r="D159" s="109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</row>
    <row r="160" spans="1:18">
      <c r="A160" s="96"/>
      <c r="B160" s="96"/>
      <c r="C160" s="87"/>
      <c r="D160" s="109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</row>
    <row r="161" spans="1:18">
      <c r="A161" s="96"/>
      <c r="B161" s="96"/>
      <c r="C161" s="87"/>
      <c r="D161" s="109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</row>
    <row r="162" spans="1:18">
      <c r="A162" s="96"/>
      <c r="B162" s="96"/>
      <c r="C162" s="87"/>
      <c r="D162" s="109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</row>
    <row r="163" spans="1:18">
      <c r="A163" s="96"/>
      <c r="B163" s="96"/>
      <c r="C163" s="87"/>
      <c r="D163" s="109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</row>
    <row r="164" spans="1:18">
      <c r="A164" s="96"/>
      <c r="B164" s="96"/>
      <c r="C164" s="87"/>
      <c r="D164" s="109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</row>
    <row r="165" spans="1:18">
      <c r="A165" s="96"/>
      <c r="B165" s="96"/>
      <c r="C165" s="87"/>
      <c r="D165" s="109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</row>
    <row r="166" spans="1:18">
      <c r="A166" s="96"/>
      <c r="B166" s="96"/>
      <c r="C166" s="87"/>
      <c r="D166" s="109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</row>
    <row r="167" spans="1:18">
      <c r="A167" s="96"/>
      <c r="B167" s="96"/>
      <c r="C167" s="87"/>
      <c r="D167" s="109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</row>
    <row r="168" spans="1:18">
      <c r="A168" s="96"/>
      <c r="B168" s="96"/>
      <c r="C168" s="87"/>
      <c r="D168" s="109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</row>
    <row r="169" spans="1:18">
      <c r="A169" s="96"/>
      <c r="B169" s="96"/>
      <c r="C169" s="87"/>
      <c r="D169" s="109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</row>
    <row r="170" spans="1:18">
      <c r="A170" s="96"/>
      <c r="B170" s="96"/>
      <c r="C170" s="87"/>
      <c r="D170" s="109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</row>
    <row r="171" spans="1:18">
      <c r="A171" s="96"/>
      <c r="B171" s="96"/>
      <c r="C171" s="87"/>
      <c r="D171" s="109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</row>
    <row r="172" spans="1:18">
      <c r="A172" s="96"/>
      <c r="B172" s="96"/>
      <c r="C172" s="87"/>
      <c r="D172" s="109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</row>
    <row r="173" spans="1:18">
      <c r="A173" s="96"/>
      <c r="B173" s="96"/>
      <c r="C173" s="87"/>
      <c r="D173" s="109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</row>
    <row r="174" spans="1:18">
      <c r="A174" s="96"/>
      <c r="B174" s="96"/>
      <c r="C174" s="87"/>
      <c r="D174" s="109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</row>
    <row r="175" spans="1:18">
      <c r="A175" s="96"/>
      <c r="B175" s="96"/>
      <c r="C175" s="87"/>
      <c r="D175" s="109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</row>
    <row r="176" spans="1:18">
      <c r="A176" s="96"/>
      <c r="B176" s="96"/>
      <c r="C176" s="87"/>
      <c r="D176" s="109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</row>
    <row r="177" spans="1:18">
      <c r="A177" s="96"/>
      <c r="B177" s="96"/>
      <c r="C177" s="87"/>
      <c r="D177" s="109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</row>
    <row r="178" spans="1:18">
      <c r="A178" s="96"/>
      <c r="B178" s="96"/>
      <c r="C178" s="87"/>
      <c r="D178" s="109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</row>
    <row r="179" spans="1:18">
      <c r="A179" s="96"/>
      <c r="B179" s="96"/>
      <c r="C179" s="87"/>
      <c r="D179" s="109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</row>
    <row r="180" spans="1:18">
      <c r="A180" s="96"/>
      <c r="B180" s="96"/>
      <c r="C180" s="87"/>
      <c r="D180" s="109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</row>
    <row r="181" spans="1:18">
      <c r="A181" s="96"/>
      <c r="B181" s="96"/>
      <c r="C181" s="87"/>
      <c r="D181" s="109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</row>
    <row r="182" spans="1:18">
      <c r="A182" s="96"/>
      <c r="B182" s="96"/>
      <c r="C182" s="87"/>
      <c r="D182" s="109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</row>
    <row r="183" spans="1:18">
      <c r="A183" s="96"/>
      <c r="B183" s="96"/>
      <c r="C183" s="87"/>
      <c r="D183" s="109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</row>
    <row r="184" spans="1:18">
      <c r="A184" s="96"/>
      <c r="B184" s="96"/>
      <c r="C184" s="87"/>
      <c r="D184" s="109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</row>
    <row r="185" spans="1:18">
      <c r="A185" s="96"/>
      <c r="B185" s="96"/>
      <c r="C185" s="87"/>
      <c r="D185" s="109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</row>
    <row r="186" spans="1:18">
      <c r="A186" s="96"/>
      <c r="B186" s="96"/>
      <c r="C186" s="87"/>
      <c r="D186" s="109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</row>
    <row r="187" spans="1:18">
      <c r="A187" s="96"/>
      <c r="B187" s="96"/>
      <c r="C187" s="87"/>
      <c r="D187" s="109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</row>
    <row r="188" spans="1:18">
      <c r="A188" s="96"/>
      <c r="B188" s="96"/>
      <c r="C188" s="87"/>
      <c r="D188" s="109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</row>
    <row r="189" spans="1:18">
      <c r="A189" s="96"/>
      <c r="B189" s="96"/>
      <c r="C189" s="87"/>
      <c r="D189" s="109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</row>
    <row r="190" spans="1:18">
      <c r="A190" s="96"/>
      <c r="B190" s="96"/>
      <c r="C190" s="87"/>
      <c r="D190" s="109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</row>
    <row r="191" spans="1:18">
      <c r="A191" s="96"/>
      <c r="B191" s="96"/>
      <c r="C191" s="87"/>
      <c r="D191" s="109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</row>
    <row r="192" spans="1:18">
      <c r="A192" s="96"/>
      <c r="B192" s="96"/>
      <c r="C192" s="87"/>
      <c r="D192" s="109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</row>
    <row r="193" spans="1:18">
      <c r="A193" s="96"/>
      <c r="B193" s="96"/>
      <c r="C193" s="87"/>
      <c r="D193" s="109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</row>
    <row r="194" spans="1:18">
      <c r="A194" s="96"/>
      <c r="B194" s="96"/>
      <c r="C194" s="87"/>
      <c r="D194" s="109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</row>
    <row r="195" spans="1:18">
      <c r="A195" s="96"/>
      <c r="B195" s="96"/>
      <c r="C195" s="87"/>
      <c r="D195" s="109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</row>
    <row r="196" spans="1:18">
      <c r="A196" s="96"/>
      <c r="B196" s="96"/>
      <c r="C196" s="87"/>
      <c r="D196" s="109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</row>
    <row r="197" spans="1:18">
      <c r="A197" s="96"/>
      <c r="B197" s="96"/>
      <c r="C197" s="87"/>
      <c r="D197" s="109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</row>
    <row r="198" spans="1:18">
      <c r="A198" s="96"/>
      <c r="B198" s="96"/>
      <c r="C198" s="87"/>
      <c r="D198" s="109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</row>
    <row r="199" spans="1:18">
      <c r="A199" s="96"/>
      <c r="B199" s="96"/>
      <c r="C199" s="87"/>
      <c r="D199" s="109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</row>
    <row r="200" spans="1:18">
      <c r="A200" s="96"/>
      <c r="B200" s="96"/>
      <c r="C200" s="87"/>
      <c r="D200" s="109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</row>
    <row r="201" spans="1:18">
      <c r="A201" s="96"/>
      <c r="B201" s="96"/>
      <c r="C201" s="87"/>
      <c r="D201" s="109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</row>
    <row r="202" spans="1:18">
      <c r="A202" s="96"/>
      <c r="B202" s="96"/>
      <c r="C202" s="87"/>
      <c r="D202" s="109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</row>
    <row r="203" spans="1:18">
      <c r="A203" s="96"/>
      <c r="B203" s="96"/>
      <c r="C203" s="87"/>
      <c r="D203" s="109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</row>
    <row r="204" spans="1:18">
      <c r="A204" s="96"/>
      <c r="B204" s="96"/>
      <c r="C204" s="87"/>
      <c r="D204" s="109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</row>
    <row r="205" spans="1:18">
      <c r="A205" s="96"/>
      <c r="B205" s="96"/>
      <c r="C205" s="87"/>
      <c r="D205" s="109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</row>
    <row r="206" spans="1:18">
      <c r="A206" s="96"/>
      <c r="B206" s="96"/>
      <c r="C206" s="87"/>
      <c r="D206" s="109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</row>
    <row r="207" spans="1:18">
      <c r="A207" s="96"/>
      <c r="B207" s="96"/>
      <c r="C207" s="87"/>
      <c r="D207" s="109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</row>
    <row r="208" spans="1:18">
      <c r="A208" s="96"/>
      <c r="B208" s="96"/>
      <c r="C208" s="87"/>
      <c r="D208" s="109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</row>
    <row r="209" spans="1:18">
      <c r="A209" s="96"/>
      <c r="B209" s="96"/>
      <c r="C209" s="87"/>
      <c r="D209" s="109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</row>
    <row r="210" spans="1:18">
      <c r="A210" s="96"/>
      <c r="B210" s="96"/>
      <c r="C210" s="87"/>
      <c r="D210" s="109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</row>
    <row r="211" spans="1:18">
      <c r="A211" s="96"/>
      <c r="B211" s="96"/>
      <c r="C211" s="87"/>
      <c r="D211" s="109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</row>
    <row r="212" spans="1:18">
      <c r="A212" s="96"/>
      <c r="B212" s="96"/>
      <c r="C212" s="87"/>
      <c r="D212" s="109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</row>
    <row r="213" spans="1:18">
      <c r="A213" s="96"/>
      <c r="B213" s="96"/>
      <c r="C213" s="87"/>
      <c r="D213" s="109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</row>
    <row r="214" spans="1:18">
      <c r="A214" s="96"/>
      <c r="B214" s="96"/>
      <c r="C214" s="87"/>
      <c r="D214" s="109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</row>
    <row r="215" spans="1:18">
      <c r="A215" s="96"/>
      <c r="B215" s="96"/>
      <c r="C215" s="87"/>
      <c r="D215" s="109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</row>
    <row r="216" spans="1:18">
      <c r="A216" s="96"/>
      <c r="B216" s="96"/>
      <c r="C216" s="87"/>
      <c r="D216" s="109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</row>
    <row r="217" spans="1:18">
      <c r="A217" s="96"/>
      <c r="B217" s="96"/>
      <c r="C217" s="87"/>
      <c r="D217" s="109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</row>
    <row r="218" spans="1:18">
      <c r="A218" s="96"/>
      <c r="B218" s="96"/>
      <c r="C218" s="87"/>
      <c r="D218" s="109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</row>
    <row r="219" spans="1:18">
      <c r="A219" s="96"/>
      <c r="B219" s="96"/>
      <c r="C219" s="87"/>
      <c r="D219" s="109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</row>
    <row r="220" spans="1:18">
      <c r="A220" s="96"/>
      <c r="B220" s="96"/>
      <c r="C220" s="87"/>
      <c r="D220" s="109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</row>
    <row r="221" spans="1:18">
      <c r="A221" s="96"/>
      <c r="B221" s="96"/>
      <c r="C221" s="87"/>
      <c r="D221" s="109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</row>
    <row r="222" spans="1:18">
      <c r="A222" s="96"/>
      <c r="B222" s="96"/>
      <c r="C222" s="87"/>
      <c r="D222" s="109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</row>
    <row r="223" spans="1:18">
      <c r="A223" s="96"/>
      <c r="B223" s="96"/>
      <c r="C223" s="87"/>
      <c r="D223" s="109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</row>
    <row r="224" spans="1:18">
      <c r="A224" s="96"/>
      <c r="B224" s="96"/>
      <c r="C224" s="87"/>
      <c r="D224" s="109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</row>
    <row r="225" spans="1:18">
      <c r="A225" s="96"/>
      <c r="B225" s="96"/>
      <c r="C225" s="87"/>
      <c r="D225" s="109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</row>
    <row r="226" spans="1:18">
      <c r="A226" s="96"/>
      <c r="B226" s="96"/>
      <c r="C226" s="87"/>
      <c r="D226" s="109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</row>
    <row r="227" spans="1:18">
      <c r="A227" s="96"/>
      <c r="B227" s="96"/>
      <c r="C227" s="87"/>
      <c r="D227" s="109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</row>
    <row r="228" spans="1:18">
      <c r="A228" s="96"/>
      <c r="B228" s="96"/>
      <c r="C228" s="87"/>
      <c r="D228" s="109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</row>
    <row r="229" spans="1:18">
      <c r="A229" s="96"/>
      <c r="B229" s="96"/>
      <c r="C229" s="87"/>
      <c r="D229" s="109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</row>
    <row r="230" spans="1:18">
      <c r="A230" s="96"/>
      <c r="B230" s="96"/>
      <c r="C230" s="87"/>
      <c r="D230" s="109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</row>
    <row r="231" spans="1:18">
      <c r="A231" s="96"/>
      <c r="B231" s="96"/>
      <c r="C231" s="87"/>
      <c r="D231" s="109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</row>
    <row r="232" spans="1:18">
      <c r="A232" s="96"/>
      <c r="B232" s="96"/>
      <c r="C232" s="87"/>
      <c r="D232" s="109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</row>
    <row r="233" spans="1:18">
      <c r="A233" s="96"/>
      <c r="B233" s="96"/>
      <c r="C233" s="87"/>
      <c r="D233" s="109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</row>
    <row r="234" spans="1:18">
      <c r="A234" s="96"/>
      <c r="B234" s="96"/>
      <c r="C234" s="87"/>
      <c r="D234" s="109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</row>
    <row r="235" spans="1:18">
      <c r="A235" s="96"/>
      <c r="B235" s="96"/>
      <c r="C235" s="87"/>
      <c r="D235" s="109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</row>
    <row r="236" spans="1:18">
      <c r="A236" s="96"/>
      <c r="B236" s="96"/>
      <c r="C236" s="87"/>
      <c r="D236" s="109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</row>
    <row r="237" spans="1:18">
      <c r="A237" s="96"/>
      <c r="B237" s="96"/>
      <c r="C237" s="87"/>
      <c r="D237" s="109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</row>
    <row r="238" spans="1:18">
      <c r="A238" s="96"/>
      <c r="B238" s="96"/>
      <c r="C238" s="87"/>
      <c r="D238" s="109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</row>
    <row r="239" spans="1:18">
      <c r="A239" s="96"/>
      <c r="B239" s="96"/>
      <c r="C239" s="87"/>
      <c r="D239" s="109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</row>
    <row r="240" spans="1:18">
      <c r="A240" s="96"/>
      <c r="B240" s="96"/>
      <c r="C240" s="87"/>
      <c r="D240" s="109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</row>
    <row r="241" spans="1:18">
      <c r="A241" s="96"/>
      <c r="B241" s="96"/>
      <c r="C241" s="87"/>
      <c r="D241" s="109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</row>
    <row r="242" spans="1:18">
      <c r="A242" s="96"/>
      <c r="B242" s="96"/>
      <c r="C242" s="87"/>
      <c r="D242" s="109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</row>
    <row r="243" spans="1:18">
      <c r="A243" s="96"/>
      <c r="B243" s="96"/>
      <c r="C243" s="87"/>
      <c r="D243" s="109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</row>
    <row r="244" spans="1:18">
      <c r="A244" s="96"/>
      <c r="B244" s="96"/>
      <c r="C244" s="87"/>
      <c r="D244" s="109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</row>
    <row r="245" spans="1:18">
      <c r="A245" s="96"/>
      <c r="B245" s="96"/>
      <c r="C245" s="87"/>
      <c r="D245" s="109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</row>
    <row r="246" spans="1:18">
      <c r="A246" s="96"/>
      <c r="B246" s="96"/>
      <c r="C246" s="87"/>
      <c r="D246" s="109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</row>
    <row r="247" spans="1:18">
      <c r="A247" s="96"/>
      <c r="B247" s="96"/>
      <c r="C247" s="87"/>
      <c r="D247" s="109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</row>
    <row r="248" spans="1:18">
      <c r="A248" s="96"/>
      <c r="B248" s="96"/>
      <c r="C248" s="87"/>
      <c r="D248" s="109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</row>
    <row r="249" spans="1:18">
      <c r="A249" s="96"/>
      <c r="B249" s="96"/>
      <c r="C249" s="87"/>
      <c r="D249" s="109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</row>
    <row r="250" spans="1:18">
      <c r="A250" s="96"/>
      <c r="B250" s="96"/>
      <c r="C250" s="87"/>
      <c r="D250" s="109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</row>
    <row r="251" spans="1:18">
      <c r="A251" s="96"/>
      <c r="B251" s="96"/>
      <c r="C251" s="87"/>
      <c r="D251" s="109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</row>
    <row r="252" spans="1:18">
      <c r="A252" s="96"/>
      <c r="B252" s="96"/>
      <c r="C252" s="87"/>
      <c r="D252" s="109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</row>
    <row r="253" spans="1:18">
      <c r="A253" s="96"/>
      <c r="B253" s="96"/>
      <c r="C253" s="87"/>
      <c r="D253" s="109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</row>
    <row r="254" spans="1:18">
      <c r="A254" s="96"/>
      <c r="B254" s="96"/>
      <c r="C254" s="87"/>
      <c r="D254" s="109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</row>
    <row r="255" spans="1:18">
      <c r="A255" s="96"/>
      <c r="B255" s="96"/>
      <c r="C255" s="87"/>
      <c r="D255" s="109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</row>
    <row r="256" spans="1:18">
      <c r="A256" s="96"/>
      <c r="B256" s="96"/>
      <c r="C256" s="87"/>
      <c r="D256" s="109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</row>
    <row r="257" spans="1:18">
      <c r="A257" s="96"/>
      <c r="B257" s="96"/>
      <c r="C257" s="87"/>
      <c r="D257" s="109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</row>
    <row r="258" spans="1:18">
      <c r="A258" s="96"/>
      <c r="B258" s="96"/>
      <c r="C258" s="87"/>
      <c r="D258" s="109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</row>
    <row r="259" spans="1:18">
      <c r="A259" s="96"/>
      <c r="B259" s="96"/>
      <c r="C259" s="87"/>
      <c r="D259" s="109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</row>
    <row r="260" spans="1:18">
      <c r="A260" s="96"/>
      <c r="B260" s="96"/>
      <c r="C260" s="87"/>
      <c r="D260" s="109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</row>
    <row r="261" spans="1:18">
      <c r="A261" s="96"/>
      <c r="B261" s="96"/>
      <c r="C261" s="87"/>
      <c r="D261" s="109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</row>
    <row r="262" spans="1:18">
      <c r="A262" s="96"/>
      <c r="B262" s="96"/>
      <c r="C262" s="87"/>
      <c r="D262" s="109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</row>
    <row r="263" spans="1:18">
      <c r="A263" s="96"/>
      <c r="B263" s="96"/>
      <c r="C263" s="87"/>
      <c r="D263" s="109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</row>
    <row r="264" spans="1:18">
      <c r="A264" s="96"/>
      <c r="B264" s="96"/>
      <c r="C264" s="87"/>
      <c r="D264" s="109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</row>
    <row r="265" spans="1:18">
      <c r="A265" s="96"/>
      <c r="B265" s="96"/>
      <c r="C265" s="87"/>
      <c r="D265" s="109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</row>
    <row r="266" spans="1:18">
      <c r="A266" s="96"/>
      <c r="B266" s="96"/>
      <c r="C266" s="87"/>
      <c r="D266" s="109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</row>
    <row r="267" spans="1:18">
      <c r="A267" s="96"/>
      <c r="B267" s="96"/>
      <c r="C267" s="87"/>
      <c r="D267" s="109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</row>
    <row r="268" spans="1:18">
      <c r="A268" s="96"/>
      <c r="B268" s="96"/>
      <c r="C268" s="87"/>
      <c r="D268" s="109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</row>
    <row r="269" spans="1:18">
      <c r="A269" s="96"/>
      <c r="B269" s="96"/>
      <c r="C269" s="87"/>
      <c r="D269" s="109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</row>
    <row r="270" spans="1:18">
      <c r="A270" s="96"/>
      <c r="B270" s="96"/>
      <c r="C270" s="87"/>
      <c r="D270" s="109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</row>
    <row r="271" spans="1:18">
      <c r="A271" s="96"/>
      <c r="B271" s="96"/>
      <c r="C271" s="87"/>
      <c r="D271" s="109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</row>
    <row r="272" spans="1:18">
      <c r="A272" s="96"/>
      <c r="B272" s="96"/>
      <c r="C272" s="87"/>
      <c r="D272" s="109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</row>
    <row r="273" spans="1:18">
      <c r="A273" s="96"/>
      <c r="B273" s="96"/>
      <c r="C273" s="87"/>
      <c r="D273" s="109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</row>
    <row r="274" spans="1:18">
      <c r="A274" s="96"/>
      <c r="B274" s="96"/>
      <c r="C274" s="87"/>
      <c r="D274" s="109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</row>
    <row r="275" spans="1:18">
      <c r="A275" s="96"/>
      <c r="B275" s="96"/>
      <c r="C275" s="87"/>
      <c r="D275" s="109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</row>
    <row r="276" spans="1:18">
      <c r="A276" s="96"/>
      <c r="B276" s="96"/>
      <c r="C276" s="87"/>
      <c r="D276" s="109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</row>
    <row r="277" spans="1:18">
      <c r="A277" s="96"/>
      <c r="B277" s="96"/>
      <c r="C277" s="87"/>
      <c r="D277" s="109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</row>
    <row r="278" spans="1:18">
      <c r="A278" s="96"/>
      <c r="B278" s="96"/>
      <c r="C278" s="87"/>
      <c r="D278" s="109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</row>
    <row r="279" spans="1:18">
      <c r="A279" s="96"/>
      <c r="B279" s="96"/>
      <c r="C279" s="87"/>
      <c r="D279" s="109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</row>
    <row r="280" spans="1:18">
      <c r="A280" s="96"/>
      <c r="B280" s="96"/>
      <c r="C280" s="87"/>
      <c r="D280" s="109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</row>
    <row r="281" spans="1:18">
      <c r="A281" s="96"/>
      <c r="B281" s="96"/>
      <c r="C281" s="87"/>
      <c r="D281" s="109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</row>
    <row r="282" spans="1:18">
      <c r="A282" s="96"/>
      <c r="B282" s="96"/>
      <c r="C282" s="87"/>
      <c r="D282" s="109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</row>
    <row r="283" spans="1:18">
      <c r="A283" s="96"/>
      <c r="B283" s="96"/>
      <c r="C283" s="87"/>
      <c r="D283" s="109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</row>
    <row r="284" spans="1:18">
      <c r="A284" s="96"/>
      <c r="B284" s="96"/>
      <c r="C284" s="87"/>
      <c r="D284" s="109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</row>
    <row r="285" spans="1:18">
      <c r="A285" s="96"/>
      <c r="B285" s="96"/>
      <c r="C285" s="87"/>
      <c r="D285" s="109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</row>
    <row r="286" spans="1:18">
      <c r="A286" s="96"/>
      <c r="B286" s="96"/>
      <c r="C286" s="87"/>
      <c r="D286" s="109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</row>
    <row r="287" spans="1:18">
      <c r="A287" s="96"/>
      <c r="B287" s="96"/>
      <c r="C287" s="87"/>
      <c r="D287" s="109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</row>
    <row r="288" spans="1:18">
      <c r="A288" s="96"/>
      <c r="B288" s="96"/>
      <c r="C288" s="87"/>
      <c r="D288" s="109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</row>
    <row r="289" spans="1:18">
      <c r="A289" s="96"/>
      <c r="B289" s="96"/>
      <c r="C289" s="87"/>
      <c r="D289" s="109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</row>
    <row r="290" spans="1:18">
      <c r="A290" s="96"/>
      <c r="B290" s="96"/>
      <c r="C290" s="87"/>
      <c r="D290" s="109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</row>
    <row r="291" spans="1:18">
      <c r="A291" s="96"/>
      <c r="B291" s="96"/>
      <c r="C291" s="87"/>
      <c r="D291" s="109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</row>
    <row r="292" spans="1:18">
      <c r="A292" s="96"/>
      <c r="B292" s="96"/>
      <c r="C292" s="87"/>
      <c r="D292" s="109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</row>
    <row r="293" spans="1:18">
      <c r="A293" s="96"/>
      <c r="B293" s="96"/>
      <c r="C293" s="87"/>
      <c r="D293" s="109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</row>
    <row r="294" spans="1:18">
      <c r="A294" s="96"/>
      <c r="B294" s="96"/>
      <c r="C294" s="87"/>
      <c r="D294" s="109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</row>
    <row r="295" spans="1:18">
      <c r="A295" s="96"/>
      <c r="B295" s="96"/>
      <c r="C295" s="87"/>
      <c r="D295" s="109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</row>
    <row r="296" spans="1:18">
      <c r="A296" s="96"/>
      <c r="B296" s="96"/>
      <c r="C296" s="87"/>
      <c r="D296" s="109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</row>
    <row r="297" spans="1:18">
      <c r="A297" s="96"/>
      <c r="B297" s="96"/>
      <c r="C297" s="87"/>
      <c r="D297" s="109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</row>
    <row r="298" spans="1:18">
      <c r="A298" s="96"/>
      <c r="B298" s="96"/>
      <c r="C298" s="87"/>
      <c r="D298" s="109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</row>
    <row r="299" spans="1:18">
      <c r="A299" s="96"/>
      <c r="B299" s="96"/>
      <c r="C299" s="87"/>
      <c r="D299" s="109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</row>
    <row r="300" spans="1:18">
      <c r="A300" s="96"/>
      <c r="B300" s="96"/>
      <c r="C300" s="87"/>
      <c r="D300" s="109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</row>
    <row r="301" spans="1:18">
      <c r="A301" s="96"/>
      <c r="B301" s="96"/>
      <c r="C301" s="87"/>
      <c r="D301" s="109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</row>
    <row r="302" spans="1:18">
      <c r="A302" s="96"/>
      <c r="B302" s="96"/>
      <c r="C302" s="87"/>
      <c r="D302" s="109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</row>
    <row r="303" spans="1:18">
      <c r="A303" s="96"/>
      <c r="B303" s="96"/>
      <c r="C303" s="87"/>
      <c r="D303" s="109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</row>
    <row r="304" spans="1:18">
      <c r="A304" s="96"/>
      <c r="B304" s="96"/>
      <c r="C304" s="87"/>
      <c r="D304" s="109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</row>
    <row r="305" spans="1:18">
      <c r="A305" s="96"/>
      <c r="B305" s="96"/>
      <c r="C305" s="87"/>
      <c r="D305" s="109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</row>
    <row r="306" spans="1:18">
      <c r="A306" s="96"/>
      <c r="B306" s="96"/>
      <c r="C306" s="87"/>
      <c r="D306" s="109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</row>
    <row r="307" spans="1:18">
      <c r="A307" s="96"/>
      <c r="B307" s="96"/>
      <c r="C307" s="87"/>
      <c r="D307" s="109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</row>
    <row r="308" spans="1:18">
      <c r="A308" s="96"/>
      <c r="B308" s="96"/>
      <c r="C308" s="87"/>
      <c r="D308" s="109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</row>
    <row r="309" spans="1:18">
      <c r="A309" s="96"/>
      <c r="B309" s="96"/>
      <c r="C309" s="87"/>
      <c r="D309" s="109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</row>
    <row r="310" spans="1:18">
      <c r="A310" s="96"/>
      <c r="B310" s="96"/>
      <c r="C310" s="87"/>
      <c r="D310" s="109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</row>
    <row r="311" spans="1:18">
      <c r="A311" s="96"/>
      <c r="B311" s="96"/>
      <c r="C311" s="87"/>
      <c r="D311" s="109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</row>
    <row r="312" spans="1:18">
      <c r="A312" s="96"/>
      <c r="B312" s="96"/>
      <c r="C312" s="87"/>
      <c r="D312" s="109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</row>
    <row r="313" spans="1:18">
      <c r="A313" s="96"/>
      <c r="B313" s="96"/>
      <c r="C313" s="87"/>
      <c r="D313" s="109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</row>
    <row r="314" spans="1:18">
      <c r="A314" s="96"/>
      <c r="B314" s="96"/>
      <c r="C314" s="87"/>
      <c r="D314" s="109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</row>
    <row r="315" spans="1:18">
      <c r="A315" s="96"/>
      <c r="B315" s="96"/>
      <c r="C315" s="87"/>
      <c r="D315" s="109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</row>
    <row r="316" spans="1:18">
      <c r="A316" s="96"/>
      <c r="B316" s="96"/>
      <c r="C316" s="87"/>
      <c r="D316" s="109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</row>
    <row r="317" spans="1:18">
      <c r="A317" s="96"/>
      <c r="B317" s="96"/>
      <c r="C317" s="87"/>
      <c r="D317" s="109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</row>
    <row r="318" spans="1:18">
      <c r="A318" s="96"/>
      <c r="B318" s="96"/>
      <c r="C318" s="87"/>
      <c r="D318" s="109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</row>
    <row r="319" spans="1:18">
      <c r="A319" s="96"/>
      <c r="B319" s="96"/>
      <c r="C319" s="87"/>
      <c r="D319" s="109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</row>
    <row r="320" spans="1:18">
      <c r="A320" s="96"/>
      <c r="B320" s="96"/>
      <c r="C320" s="87"/>
      <c r="D320" s="109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</row>
    <row r="321" spans="1:18">
      <c r="A321" s="96"/>
      <c r="B321" s="96"/>
      <c r="C321" s="87"/>
      <c r="D321" s="109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</row>
    <row r="322" spans="1:18">
      <c r="A322" s="96"/>
      <c r="B322" s="96"/>
      <c r="C322" s="87"/>
      <c r="D322" s="109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</row>
    <row r="323" spans="1:18">
      <c r="A323" s="96"/>
      <c r="B323" s="96"/>
      <c r="C323" s="87"/>
      <c r="D323" s="109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</row>
    <row r="324" spans="1:18">
      <c r="A324" s="96"/>
      <c r="B324" s="96"/>
      <c r="C324" s="87"/>
      <c r="D324" s="109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</row>
    <row r="325" spans="1:18">
      <c r="A325" s="96"/>
      <c r="B325" s="96"/>
      <c r="C325" s="87"/>
      <c r="D325" s="109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</row>
    <row r="326" spans="1:18">
      <c r="A326" s="96"/>
      <c r="B326" s="96"/>
      <c r="C326" s="87"/>
      <c r="D326" s="109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</row>
    <row r="327" spans="1:18">
      <c r="A327" s="96"/>
      <c r="B327" s="96"/>
      <c r="C327" s="87"/>
      <c r="D327" s="109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</row>
    <row r="328" spans="1:18">
      <c r="A328" s="96"/>
      <c r="B328" s="96"/>
      <c r="C328" s="87"/>
      <c r="D328" s="109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</row>
    <row r="329" spans="1:18">
      <c r="A329" s="96"/>
      <c r="B329" s="96"/>
      <c r="C329" s="87"/>
      <c r="D329" s="109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</row>
    <row r="330" spans="1:18">
      <c r="A330" s="96"/>
      <c r="B330" s="96"/>
      <c r="C330" s="87"/>
      <c r="D330" s="109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</row>
    <row r="331" spans="1:18">
      <c r="A331" s="96"/>
      <c r="B331" s="96"/>
      <c r="C331" s="87"/>
      <c r="D331" s="109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</row>
    <row r="332" spans="1:18">
      <c r="A332" s="96"/>
      <c r="B332" s="96"/>
      <c r="C332" s="87"/>
      <c r="D332" s="109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</row>
    <row r="333" spans="1:18">
      <c r="A333" s="96"/>
      <c r="B333" s="96"/>
      <c r="C333" s="87"/>
      <c r="D333" s="109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</row>
    <row r="334" spans="1:18">
      <c r="A334" s="96"/>
      <c r="B334" s="96"/>
      <c r="C334" s="87"/>
      <c r="D334" s="109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</row>
    <row r="335" spans="1:18">
      <c r="A335" s="96"/>
      <c r="B335" s="96"/>
      <c r="C335" s="87"/>
      <c r="D335" s="109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</row>
    <row r="336" spans="1:18">
      <c r="A336" s="96"/>
      <c r="B336" s="96"/>
      <c r="C336" s="87"/>
      <c r="D336" s="109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</row>
    <row r="337" spans="1:18">
      <c r="A337" s="96"/>
      <c r="B337" s="96"/>
      <c r="C337" s="87"/>
      <c r="D337" s="109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</row>
    <row r="338" spans="1:18">
      <c r="A338" s="96"/>
      <c r="B338" s="96"/>
      <c r="C338" s="87"/>
      <c r="D338" s="109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</row>
    <row r="339" spans="1:18">
      <c r="A339" s="96"/>
      <c r="B339" s="96"/>
      <c r="C339" s="87"/>
      <c r="D339" s="109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</row>
    <row r="340" spans="1:18">
      <c r="A340" s="96"/>
      <c r="B340" s="96"/>
      <c r="C340" s="87"/>
      <c r="D340" s="109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</row>
    <row r="341" spans="1:18">
      <c r="A341" s="96"/>
      <c r="B341" s="96"/>
      <c r="C341" s="87"/>
      <c r="D341" s="109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</row>
    <row r="342" spans="1:18">
      <c r="A342" s="96"/>
      <c r="B342" s="96"/>
      <c r="C342" s="87"/>
      <c r="D342" s="109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</row>
    <row r="343" spans="1:18">
      <c r="A343" s="96"/>
      <c r="B343" s="96"/>
      <c r="C343" s="87"/>
      <c r="D343" s="109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</row>
    <row r="344" spans="1:18">
      <c r="A344" s="96"/>
      <c r="B344" s="96"/>
      <c r="C344" s="87"/>
      <c r="D344" s="109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</row>
    <row r="345" spans="1:18">
      <c r="A345" s="96"/>
      <c r="B345" s="96"/>
      <c r="C345" s="87"/>
      <c r="D345" s="109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</row>
    <row r="346" spans="1:18">
      <c r="A346" s="96"/>
      <c r="B346" s="96"/>
      <c r="C346" s="87"/>
      <c r="D346" s="109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</row>
    <row r="347" spans="1:18">
      <c r="A347" s="96"/>
      <c r="B347" s="96"/>
      <c r="C347" s="87"/>
      <c r="D347" s="109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</row>
    <row r="348" spans="1:18">
      <c r="A348" s="96"/>
      <c r="B348" s="96"/>
      <c r="C348" s="87"/>
      <c r="D348" s="109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</row>
    <row r="349" spans="1:18">
      <c r="A349" s="96"/>
      <c r="B349" s="96"/>
      <c r="C349" s="87"/>
      <c r="D349" s="109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</row>
    <row r="350" spans="1:18">
      <c r="A350" s="96"/>
      <c r="B350" s="96"/>
      <c r="C350" s="87"/>
      <c r="D350" s="109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</row>
    <row r="351" spans="1:18">
      <c r="A351" s="96"/>
      <c r="B351" s="96"/>
      <c r="C351" s="87"/>
      <c r="D351" s="109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</row>
    <row r="352" spans="1:18">
      <c r="A352" s="96"/>
      <c r="B352" s="96"/>
      <c r="C352" s="87"/>
      <c r="D352" s="109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</row>
    <row r="353" spans="1:18">
      <c r="A353" s="96"/>
      <c r="B353" s="96"/>
      <c r="C353" s="87"/>
      <c r="D353" s="109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</row>
    <row r="354" spans="1:18">
      <c r="A354" s="96"/>
      <c r="B354" s="96"/>
      <c r="C354" s="87"/>
      <c r="D354" s="109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</row>
    <row r="355" spans="1:18">
      <c r="A355" s="96"/>
      <c r="B355" s="96"/>
      <c r="C355" s="87"/>
      <c r="D355" s="109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</row>
    <row r="356" spans="1:18">
      <c r="A356" s="96"/>
      <c r="B356" s="96"/>
      <c r="C356" s="87"/>
      <c r="D356" s="109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</row>
    <row r="357" spans="1:18">
      <c r="A357" s="96"/>
      <c r="B357" s="96"/>
      <c r="C357" s="87"/>
      <c r="D357" s="109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</row>
    <row r="358" spans="1:18">
      <c r="A358" s="96"/>
      <c r="B358" s="96"/>
      <c r="C358" s="87"/>
      <c r="D358" s="109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</row>
    <row r="359" spans="1:18">
      <c r="A359" s="96"/>
      <c r="B359" s="96"/>
      <c r="C359" s="87"/>
      <c r="D359" s="109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</row>
    <row r="360" spans="1:18">
      <c r="A360" s="96"/>
      <c r="B360" s="96"/>
      <c r="C360" s="87"/>
      <c r="D360" s="109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</row>
    <row r="361" spans="1:18">
      <c r="A361" s="96"/>
      <c r="B361" s="96"/>
      <c r="C361" s="87"/>
      <c r="D361" s="109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</row>
    <row r="362" spans="1:18">
      <c r="A362" s="96"/>
      <c r="B362" s="96"/>
      <c r="C362" s="87"/>
      <c r="D362" s="109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</row>
    <row r="363" spans="1:18">
      <c r="A363" s="96"/>
      <c r="B363" s="96"/>
      <c r="C363" s="87"/>
      <c r="D363" s="109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</row>
    <row r="364" spans="1:18">
      <c r="A364" s="96"/>
      <c r="B364" s="96"/>
      <c r="C364" s="87"/>
      <c r="D364" s="109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</row>
    <row r="365" spans="1:18">
      <c r="A365" s="96"/>
      <c r="B365" s="96"/>
      <c r="C365" s="87"/>
      <c r="D365" s="109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</row>
    <row r="366" spans="1:18">
      <c r="A366" s="96"/>
      <c r="B366" s="96"/>
      <c r="C366" s="87"/>
      <c r="D366" s="109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</row>
    <row r="367" spans="1:18">
      <c r="A367" s="96"/>
      <c r="B367" s="96"/>
      <c r="C367" s="87"/>
      <c r="D367" s="109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</row>
    <row r="368" spans="1:18">
      <c r="A368" s="96"/>
      <c r="B368" s="96"/>
      <c r="C368" s="87"/>
      <c r="D368" s="109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</row>
    <row r="369" spans="1:18">
      <c r="A369" s="96"/>
      <c r="B369" s="96"/>
      <c r="C369" s="87"/>
      <c r="D369" s="109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</row>
    <row r="370" spans="1:18">
      <c r="A370" s="96"/>
      <c r="B370" s="96"/>
      <c r="C370" s="87"/>
      <c r="D370" s="109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</row>
    <row r="371" spans="1:18">
      <c r="A371" s="96"/>
      <c r="B371" s="96"/>
      <c r="C371" s="87"/>
      <c r="D371" s="109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</row>
    <row r="372" spans="1:18">
      <c r="A372" s="96"/>
      <c r="B372" s="96"/>
      <c r="C372" s="87"/>
      <c r="D372" s="109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</row>
    <row r="373" spans="1:18">
      <c r="A373" s="96"/>
      <c r="B373" s="96"/>
      <c r="C373" s="87"/>
      <c r="D373" s="109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</row>
    <row r="374" spans="1:18">
      <c r="A374" s="96"/>
      <c r="B374" s="96"/>
      <c r="C374" s="87"/>
      <c r="D374" s="109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</row>
    <row r="375" spans="1:18">
      <c r="A375" s="96"/>
      <c r="B375" s="96"/>
      <c r="C375" s="87"/>
      <c r="D375" s="109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</row>
    <row r="376" spans="1:18">
      <c r="A376" s="96"/>
      <c r="B376" s="96"/>
      <c r="C376" s="87"/>
      <c r="D376" s="109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</row>
    <row r="377" spans="1:18">
      <c r="A377" s="96"/>
      <c r="B377" s="96"/>
      <c r="C377" s="87"/>
      <c r="D377" s="109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</row>
    <row r="378" spans="1:18">
      <c r="A378" s="96"/>
      <c r="B378" s="96"/>
      <c r="C378" s="87"/>
      <c r="D378" s="109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</row>
    <row r="379" spans="1:18">
      <c r="A379" s="96"/>
      <c r="B379" s="96"/>
      <c r="C379" s="87"/>
      <c r="D379" s="109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</row>
    <row r="380" spans="1:18">
      <c r="A380" s="96"/>
      <c r="B380" s="96"/>
      <c r="C380" s="87"/>
      <c r="D380" s="109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</row>
    <row r="381" spans="1:18">
      <c r="A381" s="96"/>
      <c r="B381" s="96"/>
      <c r="C381" s="87"/>
      <c r="D381" s="109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</row>
    <row r="382" spans="1:18">
      <c r="A382" s="96"/>
      <c r="B382" s="96"/>
      <c r="C382" s="87"/>
      <c r="D382" s="109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</row>
    <row r="383" spans="1:18">
      <c r="A383" s="96"/>
      <c r="B383" s="96"/>
      <c r="C383" s="87"/>
      <c r="D383" s="109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</row>
    <row r="384" spans="1:18">
      <c r="A384" s="96"/>
      <c r="B384" s="96"/>
      <c r="C384" s="87"/>
      <c r="D384" s="109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</row>
    <row r="385" spans="1:18">
      <c r="A385" s="96"/>
      <c r="B385" s="96"/>
      <c r="C385" s="87"/>
      <c r="D385" s="109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</row>
    <row r="386" spans="1:18">
      <c r="A386" s="96"/>
      <c r="B386" s="96"/>
      <c r="C386" s="87"/>
      <c r="D386" s="109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</row>
    <row r="387" spans="1:18">
      <c r="A387" s="96"/>
      <c r="B387" s="96"/>
      <c r="C387" s="87"/>
      <c r="D387" s="109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</row>
    <row r="388" spans="1:18">
      <c r="A388" s="96"/>
      <c r="B388" s="96"/>
      <c r="C388" s="87"/>
      <c r="D388" s="109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</row>
    <row r="389" spans="1:18">
      <c r="A389" s="96"/>
      <c r="B389" s="96"/>
      <c r="C389" s="87"/>
      <c r="D389" s="109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</row>
    <row r="390" spans="1:18">
      <c r="A390" s="96"/>
      <c r="B390" s="96"/>
      <c r="C390" s="87"/>
      <c r="D390" s="109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</row>
    <row r="391" spans="1:18">
      <c r="A391" s="96"/>
      <c r="B391" s="96"/>
      <c r="C391" s="87"/>
      <c r="D391" s="109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</row>
    <row r="392" spans="1:18">
      <c r="A392" s="96"/>
      <c r="B392" s="96"/>
      <c r="C392" s="87"/>
      <c r="D392" s="109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</row>
    <row r="393" spans="1:18">
      <c r="A393" s="96"/>
      <c r="B393" s="96"/>
      <c r="C393" s="87"/>
      <c r="D393" s="109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</row>
    <row r="394" spans="1:18">
      <c r="A394" s="96"/>
      <c r="B394" s="96"/>
      <c r="C394" s="87"/>
      <c r="D394" s="109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</row>
    <row r="395" spans="1:18">
      <c r="A395" s="96"/>
      <c r="B395" s="96"/>
      <c r="C395" s="87"/>
      <c r="D395" s="109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</row>
    <row r="396" spans="1:18">
      <c r="A396" s="96"/>
      <c r="B396" s="96"/>
      <c r="C396" s="87"/>
      <c r="D396" s="109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</row>
    <row r="397" spans="1:18">
      <c r="A397" s="96"/>
      <c r="B397" s="96"/>
      <c r="C397" s="87"/>
      <c r="D397" s="109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</row>
    <row r="398" spans="1:18">
      <c r="A398" s="96"/>
      <c r="B398" s="96"/>
      <c r="C398" s="87"/>
      <c r="D398" s="109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</row>
    <row r="399" spans="1:18">
      <c r="A399" s="96"/>
      <c r="B399" s="96"/>
      <c r="C399" s="87"/>
      <c r="D399" s="109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</row>
    <row r="400" spans="1:18">
      <c r="A400" s="96"/>
      <c r="B400" s="96"/>
      <c r="C400" s="87"/>
      <c r="D400" s="109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</row>
    <row r="401" spans="1:18">
      <c r="A401" s="96"/>
      <c r="B401" s="96"/>
      <c r="C401" s="87"/>
      <c r="D401" s="109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</row>
    <row r="402" spans="1:18">
      <c r="A402" s="96"/>
      <c r="B402" s="96"/>
      <c r="C402" s="87"/>
      <c r="D402" s="109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</row>
    <row r="403" spans="1:18">
      <c r="A403" s="96"/>
      <c r="B403" s="96"/>
      <c r="C403" s="87"/>
      <c r="D403" s="109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</row>
    <row r="404" spans="1:18">
      <c r="A404" s="96"/>
      <c r="B404" s="96"/>
      <c r="C404" s="87"/>
      <c r="D404" s="109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</row>
    <row r="405" spans="1:18">
      <c r="A405" s="96"/>
      <c r="B405" s="96"/>
      <c r="C405" s="87"/>
      <c r="D405" s="109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</row>
    <row r="406" spans="1:18">
      <c r="A406" s="96"/>
      <c r="B406" s="96"/>
      <c r="C406" s="87"/>
      <c r="D406" s="109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</row>
    <row r="407" spans="1:18">
      <c r="A407" s="96"/>
      <c r="B407" s="96"/>
      <c r="C407" s="87"/>
      <c r="D407" s="109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</row>
    <row r="408" spans="1:18">
      <c r="A408" s="96"/>
      <c r="B408" s="96"/>
      <c r="C408" s="87"/>
      <c r="D408" s="109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</row>
    <row r="409" spans="1:18">
      <c r="A409" s="96"/>
      <c r="B409" s="96"/>
      <c r="C409" s="87"/>
      <c r="D409" s="109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</row>
    <row r="410" spans="1:18">
      <c r="A410" s="96"/>
      <c r="B410" s="96"/>
      <c r="C410" s="87"/>
      <c r="D410" s="109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</row>
    <row r="411" spans="1:18">
      <c r="A411" s="96"/>
      <c r="B411" s="96"/>
      <c r="C411" s="87"/>
      <c r="D411" s="109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</row>
    <row r="412" spans="1:18">
      <c r="A412" s="96"/>
      <c r="B412" s="96"/>
      <c r="C412" s="87"/>
      <c r="D412" s="109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</row>
    <row r="413" spans="1:18">
      <c r="A413" s="96"/>
      <c r="B413" s="96"/>
      <c r="C413" s="87"/>
      <c r="D413" s="109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</row>
    <row r="414" spans="1:18">
      <c r="A414" s="96"/>
      <c r="B414" s="96"/>
      <c r="C414" s="87"/>
      <c r="D414" s="109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</row>
    <row r="415" spans="1:18">
      <c r="A415" s="96"/>
      <c r="B415" s="96"/>
      <c r="C415" s="87"/>
      <c r="D415" s="109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</row>
    <row r="416" spans="1:18">
      <c r="A416" s="96"/>
      <c r="B416" s="96"/>
      <c r="C416" s="87"/>
      <c r="D416" s="109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</row>
    <row r="417" spans="1:18">
      <c r="A417" s="96"/>
      <c r="B417" s="96"/>
      <c r="C417" s="87"/>
      <c r="D417" s="109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</row>
    <row r="418" spans="1:18">
      <c r="A418" s="96"/>
      <c r="B418" s="96"/>
      <c r="C418" s="87"/>
      <c r="D418" s="109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</row>
    <row r="419" spans="1:18">
      <c r="A419" s="96"/>
      <c r="B419" s="96"/>
      <c r="C419" s="87"/>
      <c r="D419" s="109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</row>
    <row r="420" spans="1:18">
      <c r="A420" s="96"/>
      <c r="B420" s="96"/>
      <c r="C420" s="87"/>
      <c r="D420" s="109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</row>
    <row r="421" spans="1:18">
      <c r="A421" s="96"/>
      <c r="B421" s="96"/>
      <c r="C421" s="87"/>
      <c r="D421" s="109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</row>
    <row r="422" spans="1:18">
      <c r="A422" s="96"/>
      <c r="B422" s="96"/>
      <c r="C422" s="87"/>
      <c r="D422" s="109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</row>
    <row r="423" spans="1:18">
      <c r="A423" s="96"/>
      <c r="B423" s="96"/>
      <c r="C423" s="87"/>
      <c r="D423" s="109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</row>
    <row r="424" spans="1:18">
      <c r="A424" s="96"/>
      <c r="B424" s="96"/>
      <c r="C424" s="87"/>
      <c r="D424" s="109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</row>
    <row r="425" spans="1:18">
      <c r="A425" s="96"/>
      <c r="B425" s="96"/>
      <c r="C425" s="87"/>
      <c r="D425" s="109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</row>
    <row r="426" spans="1:18">
      <c r="A426" s="96"/>
      <c r="B426" s="96"/>
      <c r="C426" s="87"/>
      <c r="D426" s="109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</row>
    <row r="427" spans="1:18">
      <c r="A427" s="96"/>
      <c r="B427" s="96"/>
      <c r="C427" s="87"/>
      <c r="D427" s="109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</row>
    <row r="428" spans="1:18">
      <c r="A428" s="96"/>
      <c r="B428" s="96"/>
      <c r="C428" s="87"/>
      <c r="D428" s="109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</row>
    <row r="429" spans="1:18">
      <c r="A429" s="96"/>
      <c r="B429" s="96"/>
      <c r="C429" s="87"/>
      <c r="D429" s="109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</row>
    <row r="430" spans="1:18">
      <c r="A430" s="96"/>
      <c r="B430" s="96"/>
      <c r="C430" s="87"/>
      <c r="D430" s="109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</row>
    <row r="431" spans="1:18">
      <c r="A431" s="96"/>
      <c r="B431" s="96"/>
      <c r="C431" s="87"/>
      <c r="D431" s="109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</row>
    <row r="432" spans="1:18">
      <c r="A432" s="96"/>
      <c r="B432" s="96"/>
      <c r="C432" s="87"/>
      <c r="D432" s="109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</row>
    <row r="433" spans="1:18">
      <c r="A433" s="96"/>
      <c r="B433" s="96"/>
      <c r="C433" s="87"/>
      <c r="D433" s="109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</row>
    <row r="434" spans="1:18">
      <c r="A434" s="96"/>
      <c r="B434" s="96"/>
      <c r="C434" s="87"/>
      <c r="D434" s="109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</row>
    <row r="435" spans="1:18">
      <c r="A435" s="96"/>
      <c r="B435" s="96"/>
      <c r="C435" s="87"/>
      <c r="D435" s="109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</row>
    <row r="436" spans="1:18">
      <c r="A436" s="96"/>
      <c r="B436" s="96"/>
      <c r="C436" s="87"/>
      <c r="D436" s="109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</row>
    <row r="437" spans="1:18">
      <c r="A437" s="96"/>
      <c r="B437" s="96"/>
      <c r="C437" s="87"/>
      <c r="D437" s="109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</row>
    <row r="438" spans="1:18">
      <c r="A438" s="96"/>
      <c r="B438" s="96"/>
      <c r="C438" s="87"/>
      <c r="D438" s="109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</row>
    <row r="439" spans="1:18">
      <c r="A439" s="96"/>
      <c r="B439" s="96"/>
      <c r="C439" s="87"/>
      <c r="D439" s="109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</row>
    <row r="440" spans="1:18">
      <c r="A440" s="96"/>
      <c r="B440" s="96"/>
      <c r="C440" s="87"/>
      <c r="D440" s="109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</row>
    <row r="441" spans="1:18">
      <c r="A441" s="96"/>
      <c r="B441" s="96"/>
      <c r="C441" s="87"/>
      <c r="D441" s="109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</row>
    <row r="442" spans="1:18">
      <c r="A442" s="96"/>
      <c r="B442" s="96"/>
      <c r="C442" s="87"/>
      <c r="D442" s="109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</row>
    <row r="443" spans="1:18">
      <c r="A443" s="96"/>
      <c r="B443" s="96"/>
      <c r="C443" s="87"/>
      <c r="D443" s="109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</row>
    <row r="444" spans="1:18">
      <c r="A444" s="96"/>
      <c r="B444" s="96"/>
      <c r="C444" s="87"/>
      <c r="D444" s="109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</row>
    <row r="445" spans="1:18">
      <c r="A445" s="96"/>
      <c r="B445" s="96"/>
      <c r="C445" s="87"/>
      <c r="D445" s="109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</row>
    <row r="446" spans="1:18">
      <c r="A446" s="96"/>
      <c r="B446" s="96"/>
      <c r="C446" s="87"/>
      <c r="D446" s="109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</row>
    <row r="447" spans="1:18">
      <c r="A447" s="96"/>
      <c r="B447" s="96"/>
      <c r="C447" s="87"/>
      <c r="D447" s="109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</row>
    <row r="448" spans="1:18">
      <c r="A448" s="96"/>
      <c r="B448" s="96"/>
      <c r="C448" s="87"/>
      <c r="D448" s="109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</row>
    <row r="449" spans="1:18">
      <c r="A449" s="96"/>
      <c r="B449" s="96"/>
      <c r="C449" s="87"/>
      <c r="D449" s="109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</row>
    <row r="450" spans="1:18">
      <c r="A450" s="96"/>
      <c r="B450" s="96"/>
      <c r="C450" s="87"/>
      <c r="D450" s="109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</row>
    <row r="451" spans="1:18">
      <c r="A451" s="96"/>
      <c r="B451" s="96"/>
      <c r="C451" s="87"/>
      <c r="D451" s="109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</row>
    <row r="452" spans="1:18">
      <c r="A452" s="96"/>
      <c r="B452" s="96"/>
      <c r="C452" s="87"/>
      <c r="D452" s="109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</row>
    <row r="453" spans="1:18">
      <c r="A453" s="96"/>
      <c r="B453" s="96"/>
      <c r="C453" s="87"/>
      <c r="D453" s="109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</row>
    <row r="454" spans="1:18">
      <c r="A454" s="96"/>
      <c r="B454" s="96"/>
      <c r="C454" s="87"/>
      <c r="D454" s="109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</row>
    <row r="455" spans="1:18">
      <c r="A455" s="96"/>
      <c r="B455" s="96"/>
      <c r="C455" s="87"/>
      <c r="D455" s="109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</row>
    <row r="456" spans="1:18">
      <c r="A456" s="96"/>
      <c r="B456" s="96"/>
      <c r="C456" s="87"/>
      <c r="D456" s="109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</row>
    <row r="457" spans="1:18">
      <c r="A457" s="96"/>
      <c r="B457" s="96"/>
      <c r="C457" s="87"/>
      <c r="D457" s="109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</row>
    <row r="458" spans="1:18">
      <c r="A458" s="96"/>
      <c r="B458" s="96"/>
      <c r="C458" s="87"/>
      <c r="D458" s="109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</row>
    <row r="459" spans="1:18">
      <c r="A459" s="96"/>
      <c r="B459" s="96"/>
      <c r="C459" s="87"/>
      <c r="D459" s="109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</row>
    <row r="460" spans="1:18">
      <c r="A460" s="96"/>
      <c r="B460" s="96"/>
      <c r="C460" s="87"/>
      <c r="D460" s="109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</row>
    <row r="461" spans="1:18">
      <c r="A461" s="96"/>
      <c r="B461" s="96"/>
      <c r="C461" s="87"/>
      <c r="D461" s="109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</row>
    <row r="462" spans="1:18">
      <c r="A462" s="96"/>
      <c r="B462" s="96"/>
      <c r="C462" s="87"/>
      <c r="D462" s="109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</row>
    <row r="463" spans="1:18">
      <c r="A463" s="96"/>
      <c r="B463" s="96"/>
      <c r="C463" s="87"/>
      <c r="D463" s="109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</row>
    <row r="464" spans="1:18">
      <c r="A464" s="96"/>
      <c r="B464" s="96"/>
      <c r="C464" s="87"/>
      <c r="D464" s="109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</row>
    <row r="465" spans="1:18">
      <c r="A465" s="96"/>
      <c r="B465" s="96"/>
      <c r="C465" s="87"/>
      <c r="D465" s="109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</row>
    <row r="466" spans="1:18">
      <c r="A466" s="96"/>
      <c r="B466" s="96"/>
      <c r="C466" s="87"/>
      <c r="D466" s="109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</row>
    <row r="467" spans="1:18">
      <c r="A467" s="96"/>
      <c r="B467" s="96"/>
      <c r="C467" s="87"/>
      <c r="D467" s="109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</row>
    <row r="468" spans="1:18">
      <c r="A468" s="96"/>
      <c r="B468" s="96"/>
      <c r="C468" s="87"/>
      <c r="D468" s="109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</row>
    <row r="469" spans="1:18">
      <c r="A469" s="96"/>
      <c r="B469" s="96"/>
      <c r="C469" s="87"/>
      <c r="D469" s="109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</row>
    <row r="470" spans="1:18">
      <c r="A470" s="96"/>
      <c r="B470" s="96"/>
      <c r="C470" s="87"/>
      <c r="D470" s="109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</row>
    <row r="471" spans="1:18">
      <c r="A471" s="96"/>
      <c r="B471" s="96"/>
      <c r="C471" s="87"/>
      <c r="D471" s="109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</row>
    <row r="472" spans="1:18">
      <c r="A472" s="96"/>
      <c r="B472" s="96"/>
      <c r="C472" s="87"/>
      <c r="D472" s="109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</row>
    <row r="473" spans="1:18">
      <c r="A473" s="96"/>
      <c r="B473" s="96"/>
      <c r="C473" s="87"/>
      <c r="D473" s="109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</row>
    <row r="474" spans="1:18">
      <c r="A474" s="96"/>
      <c r="B474" s="96"/>
      <c r="C474" s="87"/>
      <c r="D474" s="109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</row>
    <row r="475" spans="1:18">
      <c r="A475" s="96"/>
      <c r="B475" s="96"/>
      <c r="C475" s="87"/>
      <c r="D475" s="109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</row>
    <row r="476" spans="1:18">
      <c r="A476" s="96"/>
      <c r="B476" s="96"/>
      <c r="C476" s="87"/>
      <c r="D476" s="109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</row>
    <row r="477" spans="1:18">
      <c r="A477" s="96"/>
      <c r="B477" s="96"/>
      <c r="C477" s="87"/>
      <c r="D477" s="109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</row>
    <row r="478" spans="1:18">
      <c r="A478" s="96"/>
      <c r="B478" s="96"/>
      <c r="C478" s="87"/>
      <c r="D478" s="109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</row>
    <row r="479" spans="1:18">
      <c r="A479" s="96"/>
      <c r="B479" s="96"/>
      <c r="C479" s="87"/>
      <c r="D479" s="109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</row>
    <row r="480" spans="1:18">
      <c r="A480" s="96"/>
      <c r="B480" s="96"/>
      <c r="C480" s="87"/>
      <c r="D480" s="109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</row>
    <row r="481" spans="1:18">
      <c r="A481" s="96"/>
      <c r="B481" s="96"/>
      <c r="C481" s="87"/>
      <c r="D481" s="109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</row>
    <row r="482" spans="1:18">
      <c r="A482" s="96"/>
      <c r="B482" s="96"/>
      <c r="C482" s="87"/>
      <c r="D482" s="109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</row>
    <row r="483" spans="1:18">
      <c r="A483" s="96"/>
      <c r="B483" s="96"/>
      <c r="C483" s="87"/>
      <c r="D483" s="109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</row>
    <row r="484" spans="1:18">
      <c r="A484" s="96"/>
      <c r="B484" s="96"/>
      <c r="C484" s="87"/>
      <c r="D484" s="109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</row>
    <row r="485" spans="1:18">
      <c r="A485" s="96"/>
      <c r="B485" s="96"/>
      <c r="C485" s="87"/>
      <c r="D485" s="109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</row>
    <row r="486" spans="1:18">
      <c r="A486" s="96"/>
      <c r="B486" s="96"/>
      <c r="C486" s="87"/>
      <c r="D486" s="109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</row>
    <row r="487" spans="1:18">
      <c r="A487" s="96"/>
      <c r="B487" s="96"/>
      <c r="C487" s="87"/>
      <c r="D487" s="109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</row>
    <row r="488" spans="1:18">
      <c r="A488" s="96"/>
      <c r="B488" s="96"/>
      <c r="C488" s="87"/>
      <c r="D488" s="109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</row>
    <row r="489" spans="1:18">
      <c r="A489" s="96"/>
      <c r="B489" s="96"/>
      <c r="C489" s="87"/>
      <c r="D489" s="109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</row>
    <row r="490" spans="1:18">
      <c r="A490" s="96"/>
      <c r="B490" s="96"/>
      <c r="C490" s="87"/>
      <c r="D490" s="109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</row>
    <row r="491" spans="1:18">
      <c r="A491" s="96"/>
      <c r="B491" s="96"/>
      <c r="C491" s="87"/>
      <c r="D491" s="109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</row>
    <row r="492" spans="1:18">
      <c r="A492" s="96"/>
      <c r="B492" s="96"/>
      <c r="C492" s="87"/>
      <c r="D492" s="109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</row>
    <row r="493" spans="1:18">
      <c r="A493" s="96"/>
      <c r="B493" s="96"/>
      <c r="C493" s="87"/>
      <c r="D493" s="109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</row>
    <row r="494" spans="1:18">
      <c r="A494" s="96"/>
      <c r="B494" s="96"/>
      <c r="C494" s="87"/>
      <c r="D494" s="109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</row>
    <row r="495" spans="1:18">
      <c r="A495" s="96"/>
      <c r="B495" s="96"/>
      <c r="C495" s="87"/>
      <c r="D495" s="109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</row>
    <row r="496" spans="1:18">
      <c r="A496" s="96"/>
      <c r="B496" s="96"/>
      <c r="C496" s="87"/>
      <c r="D496" s="109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</row>
    <row r="497" spans="1:18">
      <c r="A497" s="96"/>
      <c r="B497" s="96"/>
      <c r="C497" s="87"/>
      <c r="D497" s="109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</row>
    <row r="498" spans="1:18">
      <c r="A498" s="96"/>
      <c r="B498" s="96"/>
      <c r="C498" s="87"/>
      <c r="D498" s="109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</row>
    <row r="499" spans="1:18">
      <c r="A499" s="96"/>
      <c r="B499" s="96"/>
      <c r="C499" s="87"/>
      <c r="D499" s="109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</row>
    <row r="500" spans="1:18">
      <c r="A500" s="96"/>
      <c r="B500" s="96"/>
      <c r="C500" s="87"/>
      <c r="D500" s="109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</row>
    <row r="501" spans="1:18">
      <c r="A501" s="96"/>
      <c r="B501" s="96"/>
      <c r="C501" s="87"/>
      <c r="D501" s="109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</row>
    <row r="502" spans="1:18">
      <c r="A502" s="96"/>
      <c r="B502" s="96"/>
      <c r="C502" s="87"/>
      <c r="D502" s="109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</row>
    <row r="503" spans="1:18">
      <c r="A503" s="96"/>
      <c r="B503" s="96"/>
      <c r="C503" s="87"/>
      <c r="D503" s="109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</row>
    <row r="504" spans="1:18">
      <c r="A504" s="96"/>
      <c r="B504" s="96"/>
      <c r="C504" s="87"/>
      <c r="D504" s="109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</row>
    <row r="505" spans="1:18">
      <c r="A505" s="96"/>
      <c r="B505" s="96"/>
      <c r="C505" s="87"/>
      <c r="D505" s="109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</row>
    <row r="506" spans="1:18">
      <c r="A506" s="96"/>
      <c r="B506" s="96"/>
      <c r="C506" s="87"/>
      <c r="D506" s="109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</row>
    <row r="507" spans="1:18">
      <c r="A507" s="96"/>
      <c r="B507" s="96"/>
      <c r="C507" s="87"/>
      <c r="D507" s="109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</row>
    <row r="508" spans="1:18">
      <c r="A508" s="96"/>
      <c r="B508" s="96"/>
      <c r="C508" s="87"/>
      <c r="D508" s="109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</row>
    <row r="509" spans="1:18">
      <c r="A509" s="96"/>
      <c r="B509" s="96"/>
      <c r="C509" s="87"/>
      <c r="D509" s="109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</row>
    <row r="510" spans="1:18">
      <c r="A510" s="96"/>
      <c r="B510" s="96"/>
      <c r="C510" s="87"/>
      <c r="D510" s="109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</row>
    <row r="511" spans="1:18">
      <c r="A511" s="96"/>
      <c r="B511" s="96"/>
      <c r="C511" s="87"/>
      <c r="D511" s="109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</row>
    <row r="512" spans="1:18">
      <c r="A512" s="96"/>
      <c r="B512" s="96"/>
      <c r="C512" s="87"/>
      <c r="D512" s="109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</row>
    <row r="513" spans="1:18">
      <c r="A513" s="96"/>
      <c r="B513" s="96"/>
      <c r="C513" s="87"/>
      <c r="D513" s="109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</row>
    <row r="514" spans="1:18">
      <c r="A514" s="96"/>
      <c r="B514" s="96"/>
      <c r="C514" s="87"/>
      <c r="D514" s="109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</row>
    <row r="515" spans="1:18">
      <c r="A515" s="96"/>
      <c r="B515" s="96"/>
      <c r="C515" s="87"/>
      <c r="D515" s="109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</row>
    <row r="516" spans="1:18">
      <c r="A516" s="96"/>
      <c r="B516" s="96"/>
      <c r="C516" s="87"/>
      <c r="D516" s="109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</row>
    <row r="517" spans="1:18">
      <c r="A517" s="96"/>
      <c r="B517" s="96"/>
      <c r="C517" s="87"/>
      <c r="D517" s="109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</row>
    <row r="518" spans="1:18">
      <c r="A518" s="96"/>
      <c r="B518" s="96"/>
      <c r="C518" s="87"/>
      <c r="D518" s="109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</row>
    <row r="519" spans="1:18">
      <c r="A519" s="96"/>
      <c r="B519" s="96"/>
      <c r="C519" s="87"/>
      <c r="D519" s="109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</row>
    <row r="520" spans="1:18">
      <c r="A520" s="96"/>
      <c r="B520" s="96"/>
      <c r="C520" s="87"/>
      <c r="D520" s="109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</row>
    <row r="521" spans="1:18">
      <c r="A521" s="96"/>
      <c r="B521" s="96"/>
      <c r="C521" s="87"/>
      <c r="D521" s="109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</row>
    <row r="522" spans="1:18">
      <c r="A522" s="96"/>
      <c r="B522" s="96"/>
      <c r="C522" s="87"/>
      <c r="D522" s="109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</row>
    <row r="523" spans="1:18">
      <c r="A523" s="96"/>
      <c r="B523" s="96"/>
      <c r="C523" s="87"/>
      <c r="D523" s="109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</row>
    <row r="524" spans="1:18">
      <c r="A524" s="96"/>
      <c r="B524" s="96"/>
      <c r="C524" s="87"/>
      <c r="D524" s="109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</row>
    <row r="525" spans="1:18">
      <c r="A525" s="96"/>
      <c r="B525" s="96"/>
      <c r="C525" s="87"/>
      <c r="D525" s="109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</row>
    <row r="526" spans="1:18">
      <c r="A526" s="96"/>
      <c r="B526" s="96"/>
      <c r="C526" s="87"/>
      <c r="D526" s="109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</row>
    <row r="527" spans="1:18">
      <c r="A527" s="96"/>
      <c r="B527" s="96"/>
      <c r="C527" s="87"/>
      <c r="D527" s="109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</row>
    <row r="528" spans="1:18">
      <c r="A528" s="96"/>
      <c r="B528" s="96"/>
      <c r="C528" s="87"/>
      <c r="D528" s="109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</row>
    <row r="529" spans="1:18">
      <c r="A529" s="96"/>
      <c r="B529" s="96"/>
      <c r="C529" s="87"/>
      <c r="D529" s="109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</row>
    <row r="530" spans="1:18">
      <c r="A530" s="96"/>
      <c r="B530" s="96"/>
      <c r="C530" s="87"/>
      <c r="D530" s="109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</row>
    <row r="531" spans="1:18">
      <c r="A531" s="96"/>
      <c r="B531" s="96"/>
      <c r="C531" s="87"/>
      <c r="D531" s="109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</row>
    <row r="532" spans="1:18">
      <c r="A532" s="96"/>
      <c r="B532" s="96"/>
      <c r="C532" s="87"/>
      <c r="D532" s="109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</row>
    <row r="533" spans="1:18">
      <c r="A533" s="96"/>
      <c r="B533" s="96"/>
      <c r="C533" s="87"/>
      <c r="D533" s="109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</row>
    <row r="534" spans="1:18">
      <c r="A534" s="96"/>
      <c r="B534" s="96"/>
      <c r="C534" s="87"/>
      <c r="D534" s="109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</row>
    <row r="535" spans="1:18">
      <c r="A535" s="96"/>
      <c r="B535" s="96"/>
      <c r="C535" s="87"/>
      <c r="D535" s="109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</row>
    <row r="536" spans="1:18">
      <c r="A536" s="96"/>
      <c r="B536" s="96"/>
      <c r="C536" s="87"/>
      <c r="D536" s="109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</row>
    <row r="537" spans="1:18">
      <c r="A537" s="96"/>
      <c r="B537" s="96"/>
      <c r="C537" s="87"/>
      <c r="D537" s="109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</row>
    <row r="538" spans="1:18">
      <c r="A538" s="96"/>
      <c r="B538" s="96"/>
      <c r="C538" s="87"/>
      <c r="D538" s="109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</row>
    <row r="539" spans="1:18">
      <c r="A539" s="96"/>
      <c r="B539" s="96"/>
      <c r="C539" s="87"/>
      <c r="D539" s="109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</row>
    <row r="540" spans="1:18">
      <c r="A540" s="96"/>
      <c r="B540" s="96"/>
      <c r="C540" s="87"/>
      <c r="D540" s="109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</row>
    <row r="541" spans="1:18">
      <c r="A541" s="96"/>
      <c r="B541" s="96"/>
      <c r="C541" s="87"/>
      <c r="D541" s="109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</row>
    <row r="542" spans="1:18">
      <c r="A542" s="96"/>
      <c r="B542" s="96"/>
      <c r="C542" s="87"/>
      <c r="D542" s="109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</row>
    <row r="543" spans="1:18">
      <c r="A543" s="96"/>
      <c r="B543" s="96"/>
      <c r="C543" s="87"/>
      <c r="D543" s="109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</row>
    <row r="544" spans="1:18">
      <c r="A544" s="96"/>
      <c r="B544" s="96"/>
      <c r="C544" s="87"/>
      <c r="D544" s="109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</row>
    <row r="545" spans="1:18">
      <c r="A545" s="96"/>
      <c r="B545" s="96"/>
      <c r="C545" s="87"/>
      <c r="D545" s="109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</row>
    <row r="546" spans="1:18">
      <c r="A546" s="96"/>
      <c r="B546" s="96"/>
      <c r="C546" s="87"/>
      <c r="D546" s="109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</row>
    <row r="547" spans="1:18">
      <c r="A547" s="96"/>
      <c r="B547" s="96"/>
      <c r="C547" s="87"/>
      <c r="D547" s="109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</row>
    <row r="548" spans="1:18">
      <c r="A548" s="96"/>
      <c r="B548" s="96"/>
      <c r="C548" s="87"/>
      <c r="D548" s="109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</row>
    <row r="549" spans="1:18">
      <c r="A549" s="96"/>
      <c r="B549" s="96"/>
      <c r="C549" s="87"/>
      <c r="D549" s="109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</row>
    <row r="550" spans="1:18">
      <c r="A550" s="96"/>
      <c r="B550" s="96"/>
      <c r="C550" s="87"/>
      <c r="D550" s="109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</row>
    <row r="551" spans="1:18">
      <c r="A551" s="96"/>
      <c r="B551" s="96"/>
      <c r="C551" s="87"/>
      <c r="D551" s="109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</row>
    <row r="552" spans="1:18">
      <c r="A552" s="96"/>
      <c r="B552" s="96"/>
      <c r="C552" s="87"/>
      <c r="D552" s="109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</row>
    <row r="553" spans="1:18">
      <c r="A553" s="96"/>
      <c r="B553" s="96"/>
      <c r="C553" s="87"/>
      <c r="D553" s="109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</row>
    <row r="554" spans="1:18">
      <c r="A554" s="96"/>
      <c r="B554" s="96"/>
      <c r="C554" s="87"/>
      <c r="D554" s="109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</row>
    <row r="555" spans="1:18">
      <c r="A555" s="96"/>
      <c r="B555" s="96"/>
      <c r="C555" s="87"/>
      <c r="D555" s="109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</row>
    <row r="556" spans="1:18">
      <c r="A556" s="96"/>
      <c r="B556" s="96"/>
      <c r="C556" s="87"/>
      <c r="D556" s="109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</row>
    <row r="557" spans="1:18">
      <c r="A557" s="96"/>
      <c r="B557" s="96"/>
      <c r="C557" s="87"/>
      <c r="D557" s="109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</row>
    <row r="558" spans="1:18">
      <c r="A558" s="96"/>
      <c r="B558" s="96"/>
      <c r="C558" s="87"/>
      <c r="D558" s="109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</row>
    <row r="559" spans="1:18">
      <c r="A559" s="96"/>
      <c r="B559" s="96"/>
      <c r="C559" s="87"/>
      <c r="D559" s="109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</row>
    <row r="560" spans="1:18">
      <c r="A560" s="96"/>
      <c r="B560" s="96"/>
      <c r="C560" s="87"/>
      <c r="D560" s="109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</row>
    <row r="561" spans="1:18">
      <c r="A561" s="96"/>
      <c r="B561" s="96"/>
      <c r="C561" s="87"/>
      <c r="D561" s="109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</row>
    <row r="562" spans="1:18">
      <c r="A562" s="96"/>
      <c r="B562" s="96"/>
      <c r="C562" s="87"/>
      <c r="D562" s="109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</row>
    <row r="563" spans="1:18">
      <c r="A563" s="96"/>
      <c r="B563" s="96"/>
      <c r="C563" s="87"/>
      <c r="D563" s="109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</row>
    <row r="564" spans="1:18">
      <c r="A564" s="96"/>
      <c r="B564" s="96"/>
      <c r="C564" s="87"/>
      <c r="D564" s="109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</row>
    <row r="565" spans="1:18">
      <c r="A565" s="96"/>
      <c r="B565" s="96"/>
      <c r="C565" s="87"/>
      <c r="D565" s="109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</row>
    <row r="566" spans="1:18">
      <c r="A566" s="96"/>
      <c r="B566" s="96"/>
      <c r="C566" s="87"/>
      <c r="D566" s="109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</row>
    <row r="567" spans="1:18">
      <c r="A567" s="96"/>
      <c r="B567" s="96"/>
      <c r="C567" s="87"/>
      <c r="D567" s="109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</row>
    <row r="568" spans="1:18">
      <c r="A568" s="96"/>
      <c r="B568" s="96"/>
      <c r="C568" s="87"/>
      <c r="D568" s="109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</row>
    <row r="569" spans="1:18">
      <c r="A569" s="96"/>
      <c r="B569" s="96"/>
      <c r="C569" s="87"/>
      <c r="D569" s="109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</row>
    <row r="570" spans="1:18">
      <c r="A570" s="96"/>
      <c r="B570" s="96"/>
      <c r="C570" s="87"/>
      <c r="D570" s="109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</row>
    <row r="571" spans="1:18">
      <c r="A571" s="96"/>
      <c r="B571" s="96"/>
      <c r="C571" s="87"/>
      <c r="D571" s="109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</row>
    <row r="572" spans="1:18">
      <c r="A572" s="96"/>
      <c r="B572" s="96"/>
      <c r="C572" s="87"/>
      <c r="D572" s="109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</row>
    <row r="573" spans="1:18">
      <c r="A573" s="96"/>
      <c r="B573" s="96"/>
      <c r="C573" s="87"/>
      <c r="D573" s="109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</row>
    <row r="574" spans="1:18">
      <c r="A574" s="96"/>
      <c r="B574" s="96"/>
      <c r="C574" s="87"/>
      <c r="D574" s="109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</row>
    <row r="575" spans="1:18">
      <c r="A575" s="96"/>
      <c r="B575" s="96"/>
      <c r="C575" s="87"/>
      <c r="D575" s="109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</row>
    <row r="576" spans="1:18">
      <c r="A576" s="96"/>
      <c r="B576" s="96"/>
      <c r="C576" s="87"/>
      <c r="D576" s="109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</row>
    <row r="577" spans="1:18">
      <c r="A577" s="96"/>
      <c r="B577" s="96"/>
      <c r="C577" s="87"/>
      <c r="D577" s="109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</row>
    <row r="578" spans="1:18">
      <c r="A578" s="96"/>
      <c r="B578" s="96"/>
      <c r="C578" s="87"/>
      <c r="D578" s="109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</row>
    <row r="579" spans="1:18">
      <c r="A579" s="96"/>
      <c r="B579" s="96"/>
      <c r="C579" s="87"/>
      <c r="D579" s="109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</row>
    <row r="580" spans="1:18">
      <c r="A580" s="96"/>
      <c r="B580" s="96"/>
      <c r="C580" s="87"/>
      <c r="D580" s="109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</row>
    <row r="581" spans="1:18">
      <c r="A581" s="96"/>
      <c r="B581" s="96"/>
      <c r="C581" s="87"/>
      <c r="D581" s="109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</row>
    <row r="582" spans="1:18">
      <c r="A582" s="96"/>
      <c r="B582" s="96"/>
      <c r="C582" s="87"/>
      <c r="D582" s="109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</row>
    <row r="583" spans="1:18">
      <c r="A583" s="96"/>
      <c r="B583" s="96"/>
      <c r="C583" s="87"/>
      <c r="D583" s="109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</row>
    <row r="584" spans="1:18">
      <c r="A584" s="96"/>
      <c r="B584" s="96"/>
      <c r="C584" s="87"/>
      <c r="D584" s="109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</row>
    <row r="585" spans="1:18">
      <c r="A585" s="96"/>
      <c r="B585" s="96"/>
      <c r="C585" s="87"/>
      <c r="D585" s="109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</row>
    <row r="586" spans="1:18">
      <c r="A586" s="96"/>
      <c r="B586" s="96"/>
      <c r="C586" s="87"/>
      <c r="D586" s="109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</row>
    <row r="587" spans="1:18">
      <c r="A587" s="96"/>
      <c r="B587" s="96"/>
      <c r="C587" s="87"/>
      <c r="D587" s="109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</row>
    <row r="588" spans="1:18">
      <c r="A588" s="96"/>
      <c r="B588" s="96"/>
      <c r="C588" s="87"/>
      <c r="D588" s="109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</row>
    <row r="589" spans="1:18">
      <c r="A589" s="96"/>
      <c r="B589" s="96"/>
      <c r="C589" s="87"/>
      <c r="D589" s="109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</row>
    <row r="590" spans="1:18">
      <c r="A590" s="96"/>
      <c r="B590" s="96"/>
      <c r="C590" s="87"/>
      <c r="D590" s="109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</row>
    <row r="591" spans="1:18">
      <c r="A591" s="96"/>
      <c r="B591" s="96"/>
      <c r="C591" s="87"/>
      <c r="D591" s="109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</row>
    <row r="592" spans="1:18">
      <c r="A592" s="96"/>
      <c r="B592" s="96"/>
      <c r="C592" s="87"/>
      <c r="D592" s="109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</row>
    <row r="593" spans="1:18">
      <c r="A593" s="96"/>
      <c r="B593" s="96"/>
      <c r="C593" s="87"/>
      <c r="D593" s="109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</row>
    <row r="594" spans="1:18">
      <c r="A594" s="96"/>
      <c r="B594" s="96"/>
      <c r="C594" s="87"/>
      <c r="D594" s="109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</row>
    <row r="595" spans="1:18">
      <c r="A595" s="96"/>
      <c r="B595" s="96"/>
      <c r="C595" s="87"/>
      <c r="D595" s="109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</row>
    <row r="596" spans="1:18">
      <c r="A596" s="96"/>
      <c r="B596" s="96"/>
      <c r="C596" s="87"/>
      <c r="D596" s="109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</row>
    <row r="597" spans="1:18">
      <c r="A597" s="96"/>
      <c r="B597" s="96"/>
      <c r="C597" s="87"/>
      <c r="D597" s="109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</row>
    <row r="598" spans="1:18">
      <c r="A598" s="96"/>
      <c r="B598" s="96"/>
      <c r="C598" s="87"/>
      <c r="D598" s="109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</row>
    <row r="599" spans="1:18">
      <c r="A599" s="96"/>
      <c r="B599" s="96"/>
      <c r="C599" s="87"/>
      <c r="D599" s="109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</row>
    <row r="600" spans="1:18">
      <c r="A600" s="96"/>
      <c r="B600" s="96"/>
      <c r="C600" s="87"/>
      <c r="D600" s="109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</row>
    <row r="601" spans="1:18">
      <c r="A601" s="96"/>
      <c r="B601" s="96"/>
      <c r="C601" s="87"/>
      <c r="D601" s="109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</row>
    <row r="602" spans="1:18">
      <c r="A602" s="96"/>
      <c r="B602" s="96"/>
      <c r="C602" s="87"/>
      <c r="D602" s="109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</row>
    <row r="603" spans="1:18">
      <c r="A603" s="96"/>
      <c r="B603" s="96"/>
      <c r="C603" s="87"/>
      <c r="D603" s="109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</row>
    <row r="604" spans="1:18">
      <c r="A604" s="96"/>
      <c r="B604" s="96"/>
      <c r="C604" s="87"/>
      <c r="D604" s="109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</row>
    <row r="605" spans="1:18">
      <c r="A605" s="96"/>
      <c r="B605" s="96"/>
      <c r="C605" s="87"/>
      <c r="D605" s="109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</row>
    <row r="606" spans="1:18">
      <c r="A606" s="96"/>
      <c r="B606" s="96"/>
      <c r="C606" s="87"/>
      <c r="D606" s="109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</row>
    <row r="607" spans="1:18">
      <c r="A607" s="96"/>
      <c r="B607" s="96"/>
      <c r="C607" s="87"/>
      <c r="D607" s="109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</row>
    <row r="608" spans="1:18">
      <c r="A608" s="96"/>
      <c r="B608" s="96"/>
      <c r="C608" s="87"/>
      <c r="D608" s="109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</row>
    <row r="609" spans="1:18">
      <c r="A609" s="96"/>
      <c r="B609" s="96"/>
      <c r="C609" s="87"/>
      <c r="D609" s="109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</row>
    <row r="610" spans="1:18">
      <c r="A610" s="96"/>
      <c r="B610" s="96"/>
      <c r="C610" s="87"/>
      <c r="D610" s="109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</row>
    <row r="611" spans="1:18">
      <c r="A611" s="96"/>
      <c r="B611" s="96"/>
      <c r="C611" s="87"/>
      <c r="D611" s="109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</row>
    <row r="612" spans="1:18">
      <c r="A612" s="96"/>
      <c r="B612" s="96"/>
      <c r="C612" s="87"/>
      <c r="D612" s="109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</row>
    <row r="613" spans="1:18">
      <c r="A613" s="96"/>
      <c r="B613" s="96"/>
      <c r="C613" s="87"/>
      <c r="D613" s="109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</row>
    <row r="614" spans="1:18">
      <c r="A614" s="96"/>
      <c r="B614" s="96"/>
      <c r="C614" s="87"/>
      <c r="D614" s="109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</row>
    <row r="615" spans="1:18">
      <c r="A615" s="96"/>
      <c r="B615" s="96"/>
      <c r="C615" s="87"/>
      <c r="D615" s="109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</row>
    <row r="616" spans="1:18">
      <c r="A616" s="96"/>
      <c r="B616" s="96"/>
      <c r="C616" s="87"/>
      <c r="D616" s="109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</row>
    <row r="617" spans="1:18">
      <c r="A617" s="96"/>
      <c r="B617" s="96"/>
      <c r="C617" s="87"/>
      <c r="D617" s="109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</row>
    <row r="618" spans="1:18">
      <c r="A618" s="96"/>
      <c r="B618" s="96"/>
      <c r="C618" s="87"/>
      <c r="D618" s="109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</row>
    <row r="619" spans="1:18">
      <c r="A619" s="96"/>
      <c r="B619" s="96"/>
      <c r="C619" s="87"/>
      <c r="D619" s="109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</row>
    <row r="620" spans="1:18">
      <c r="A620" s="96"/>
      <c r="B620" s="96"/>
      <c r="C620" s="87"/>
      <c r="D620" s="109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</row>
    <row r="621" spans="1:18">
      <c r="A621" s="96"/>
      <c r="B621" s="96"/>
      <c r="C621" s="87"/>
      <c r="D621" s="109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</row>
    <row r="622" spans="1:18">
      <c r="A622" s="96"/>
      <c r="B622" s="96"/>
      <c r="C622" s="87"/>
      <c r="D622" s="109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</row>
    <row r="623" spans="1:18">
      <c r="A623" s="96"/>
      <c r="B623" s="96"/>
      <c r="C623" s="87"/>
      <c r="D623" s="109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</row>
    <row r="624" spans="1:18">
      <c r="A624" s="96"/>
      <c r="B624" s="96"/>
      <c r="C624" s="87"/>
      <c r="D624" s="109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</row>
    <row r="625" spans="1:18">
      <c r="A625" s="96"/>
      <c r="B625" s="96"/>
      <c r="C625" s="87"/>
      <c r="D625" s="109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</row>
    <row r="626" spans="1:18">
      <c r="A626" s="96"/>
      <c r="B626" s="96"/>
      <c r="C626" s="87"/>
      <c r="D626" s="109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</row>
    <row r="627" spans="1:18">
      <c r="A627" s="96"/>
      <c r="B627" s="96"/>
      <c r="C627" s="87"/>
      <c r="D627" s="109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</row>
    <row r="628" spans="1:18">
      <c r="A628" s="96"/>
      <c r="B628" s="96"/>
      <c r="C628" s="87"/>
      <c r="D628" s="109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</row>
    <row r="629" spans="1:18">
      <c r="A629" s="96"/>
      <c r="B629" s="96"/>
      <c r="C629" s="87"/>
      <c r="D629" s="109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</row>
    <row r="630" spans="1:18">
      <c r="A630" s="96"/>
      <c r="B630" s="96"/>
      <c r="C630" s="87"/>
      <c r="D630" s="109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</row>
    <row r="631" spans="1:18">
      <c r="A631" s="96"/>
      <c r="B631" s="96"/>
      <c r="C631" s="87"/>
      <c r="D631" s="109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</row>
    <row r="632" spans="1:18">
      <c r="A632" s="96"/>
      <c r="B632" s="96"/>
      <c r="C632" s="87"/>
      <c r="D632" s="109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</row>
    <row r="633" spans="1:18">
      <c r="A633" s="96"/>
      <c r="B633" s="96"/>
      <c r="C633" s="87"/>
      <c r="D633" s="109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</row>
    <row r="634" spans="1:18">
      <c r="A634" s="96"/>
      <c r="B634" s="96"/>
      <c r="C634" s="87"/>
      <c r="D634" s="109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</row>
    <row r="635" spans="1:18">
      <c r="A635" s="96"/>
      <c r="B635" s="96"/>
      <c r="C635" s="87"/>
      <c r="D635" s="109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</row>
    <row r="636" spans="1:18">
      <c r="A636" s="96"/>
      <c r="B636" s="96"/>
      <c r="C636" s="87"/>
      <c r="D636" s="109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</row>
    <row r="637" spans="1:18">
      <c r="A637" s="96"/>
      <c r="B637" s="96"/>
      <c r="C637" s="87"/>
      <c r="D637" s="109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</row>
    <row r="638" spans="1:18">
      <c r="A638" s="96"/>
      <c r="B638" s="96"/>
      <c r="C638" s="87"/>
      <c r="D638" s="109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</row>
    <row r="639" spans="1:18">
      <c r="A639" s="96"/>
      <c r="B639" s="96"/>
      <c r="C639" s="87"/>
      <c r="D639" s="109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</row>
    <row r="640" spans="1:18">
      <c r="A640" s="96"/>
      <c r="B640" s="96"/>
      <c r="C640" s="87"/>
      <c r="D640" s="109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</row>
    <row r="641" spans="1:18">
      <c r="A641" s="96"/>
      <c r="B641" s="96"/>
      <c r="C641" s="87"/>
      <c r="D641" s="109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</row>
    <row r="642" spans="1:18">
      <c r="A642" s="96"/>
      <c r="B642" s="96"/>
      <c r="C642" s="87"/>
      <c r="D642" s="109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</row>
    <row r="643" spans="1:18">
      <c r="A643" s="96"/>
      <c r="B643" s="96"/>
      <c r="C643" s="87"/>
      <c r="D643" s="109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</row>
    <row r="644" spans="1:18">
      <c r="A644" s="96"/>
      <c r="B644" s="96"/>
      <c r="C644" s="87"/>
      <c r="D644" s="109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</row>
    <row r="645" spans="1:18">
      <c r="A645" s="96"/>
      <c r="B645" s="96"/>
      <c r="C645" s="87"/>
      <c r="D645" s="109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</row>
    <row r="646" spans="1:18">
      <c r="A646" s="96"/>
      <c r="B646" s="96"/>
      <c r="C646" s="87"/>
      <c r="D646" s="109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</row>
    <row r="647" spans="1:18">
      <c r="A647" s="96"/>
      <c r="B647" s="96"/>
      <c r="C647" s="87"/>
      <c r="D647" s="109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</row>
    <row r="648" spans="1:18">
      <c r="A648" s="96"/>
      <c r="B648" s="96"/>
      <c r="C648" s="87"/>
      <c r="D648" s="109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</row>
    <row r="649" spans="1:18">
      <c r="A649" s="96"/>
      <c r="B649" s="96"/>
      <c r="C649" s="87"/>
      <c r="D649" s="109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</row>
    <row r="650" spans="1:18">
      <c r="A650" s="96"/>
      <c r="B650" s="96"/>
      <c r="C650" s="87"/>
      <c r="D650" s="109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</row>
    <row r="651" spans="1:18">
      <c r="A651" s="96"/>
      <c r="B651" s="96"/>
      <c r="C651" s="87"/>
      <c r="D651" s="109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</row>
    <row r="652" spans="1:18">
      <c r="A652" s="96"/>
      <c r="B652" s="96"/>
      <c r="C652" s="87"/>
      <c r="D652" s="109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</row>
    <row r="653" spans="1:18">
      <c r="A653" s="96"/>
      <c r="B653" s="96"/>
      <c r="C653" s="87"/>
      <c r="D653" s="109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</row>
    <row r="654" spans="1:18">
      <c r="A654" s="96"/>
      <c r="B654" s="96"/>
      <c r="C654" s="87"/>
      <c r="D654" s="109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</row>
    <row r="655" spans="1:18">
      <c r="A655" s="96"/>
      <c r="B655" s="96"/>
      <c r="C655" s="87"/>
      <c r="D655" s="109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</row>
    <row r="656" spans="1:18">
      <c r="A656" s="96"/>
      <c r="B656" s="96"/>
      <c r="C656" s="87"/>
      <c r="D656" s="109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</row>
    <row r="657" spans="1:18">
      <c r="A657" s="96"/>
      <c r="B657" s="96"/>
      <c r="C657" s="87"/>
      <c r="D657" s="109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</row>
    <row r="658" spans="1:18">
      <c r="A658" s="96"/>
      <c r="B658" s="96"/>
      <c r="C658" s="87"/>
      <c r="D658" s="109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</row>
    <row r="659" spans="1:18">
      <c r="A659" s="96"/>
      <c r="B659" s="96"/>
      <c r="C659" s="87"/>
      <c r="D659" s="109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</row>
    <row r="660" spans="1:18">
      <c r="A660" s="96"/>
      <c r="B660" s="96"/>
      <c r="C660" s="87"/>
      <c r="D660" s="109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</row>
    <row r="661" spans="1:18">
      <c r="A661" s="96"/>
      <c r="B661" s="96"/>
      <c r="C661" s="87"/>
      <c r="D661" s="109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</row>
    <row r="662" spans="1:18">
      <c r="A662" s="96"/>
      <c r="B662" s="96"/>
      <c r="C662" s="87"/>
      <c r="D662" s="109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</row>
    <row r="663" spans="1:18">
      <c r="A663" s="96"/>
      <c r="B663" s="96"/>
      <c r="C663" s="87"/>
      <c r="D663" s="109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</row>
    <row r="664" spans="1:18">
      <c r="A664" s="96"/>
      <c r="B664" s="96"/>
      <c r="C664" s="87"/>
      <c r="D664" s="109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</row>
    <row r="665" spans="1:18">
      <c r="A665" s="96"/>
      <c r="B665" s="96"/>
      <c r="C665" s="87"/>
      <c r="D665" s="109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</row>
    <row r="666" spans="1:18">
      <c r="A666" s="96"/>
      <c r="B666" s="96"/>
      <c r="C666" s="87"/>
      <c r="D666" s="109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</row>
    <row r="667" spans="1:18">
      <c r="A667" s="96"/>
      <c r="B667" s="96"/>
      <c r="C667" s="87"/>
      <c r="D667" s="109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</row>
    <row r="668" spans="1:18">
      <c r="A668" s="96"/>
      <c r="B668" s="96"/>
      <c r="C668" s="87"/>
      <c r="D668" s="109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</row>
    <row r="669" spans="1:18">
      <c r="A669" s="96"/>
      <c r="B669" s="96"/>
      <c r="C669" s="87"/>
      <c r="D669" s="109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</row>
    <row r="670" spans="1:18">
      <c r="A670" s="96"/>
      <c r="B670" s="96"/>
      <c r="C670" s="87"/>
      <c r="D670" s="109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</row>
    <row r="671" spans="1:18">
      <c r="A671" s="96"/>
      <c r="B671" s="96"/>
      <c r="C671" s="87"/>
      <c r="D671" s="109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</row>
    <row r="672" spans="1:18">
      <c r="A672" s="96"/>
      <c r="B672" s="96"/>
      <c r="C672" s="87"/>
      <c r="D672" s="109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</row>
    <row r="673" spans="1:18">
      <c r="A673" s="96"/>
      <c r="B673" s="96"/>
      <c r="C673" s="87"/>
      <c r="D673" s="109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</row>
    <row r="674" spans="1:18">
      <c r="A674" s="96"/>
      <c r="B674" s="96"/>
      <c r="C674" s="87"/>
      <c r="D674" s="109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</row>
    <row r="675" spans="1:18">
      <c r="A675" s="96"/>
      <c r="B675" s="96"/>
      <c r="C675" s="87"/>
      <c r="D675" s="109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</row>
    <row r="676" spans="1:18">
      <c r="A676" s="96"/>
      <c r="B676" s="96"/>
      <c r="C676" s="87"/>
      <c r="D676" s="109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</row>
    <row r="677" spans="1:18">
      <c r="A677" s="96"/>
      <c r="B677" s="96"/>
      <c r="C677" s="87"/>
      <c r="D677" s="109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</row>
    <row r="678" spans="1:18">
      <c r="A678" s="96"/>
      <c r="B678" s="96"/>
      <c r="C678" s="87"/>
      <c r="D678" s="109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</row>
    <row r="679" spans="1:18">
      <c r="A679" s="96"/>
      <c r="B679" s="96"/>
      <c r="C679" s="87"/>
      <c r="D679" s="109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</row>
    <row r="680" spans="1:18">
      <c r="A680" s="96"/>
      <c r="B680" s="96"/>
      <c r="C680" s="87"/>
      <c r="D680" s="109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</row>
    <row r="681" spans="1:18">
      <c r="A681" s="96"/>
      <c r="B681" s="96"/>
      <c r="C681" s="87"/>
      <c r="D681" s="109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</row>
    <row r="682" spans="1:18">
      <c r="A682" s="96"/>
      <c r="B682" s="96"/>
      <c r="C682" s="87"/>
      <c r="D682" s="109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</row>
    <row r="683" spans="1:18">
      <c r="A683" s="96"/>
      <c r="B683" s="96"/>
      <c r="C683" s="87"/>
      <c r="D683" s="109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</row>
    <row r="684" spans="1:18">
      <c r="A684" s="96"/>
      <c r="B684" s="96"/>
      <c r="C684" s="87"/>
      <c r="D684" s="109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</row>
    <row r="685" spans="1:18">
      <c r="A685" s="96"/>
      <c r="B685" s="96"/>
      <c r="C685" s="87"/>
      <c r="D685" s="109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</row>
    <row r="686" spans="1:18">
      <c r="A686" s="96"/>
      <c r="B686" s="96"/>
      <c r="C686" s="87"/>
      <c r="D686" s="109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</row>
    <row r="687" spans="1:18">
      <c r="A687" s="96"/>
      <c r="B687" s="96"/>
      <c r="C687" s="87"/>
      <c r="D687" s="109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</row>
    <row r="688" spans="1:18">
      <c r="A688" s="96"/>
      <c r="B688" s="96"/>
      <c r="C688" s="87"/>
      <c r="D688" s="109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</row>
    <row r="689" spans="1:18">
      <c r="A689" s="96"/>
      <c r="B689" s="96"/>
      <c r="C689" s="87"/>
      <c r="D689" s="109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</row>
    <row r="690" spans="1:18">
      <c r="A690" s="96"/>
      <c r="B690" s="96"/>
      <c r="C690" s="87"/>
      <c r="D690" s="109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</row>
    <row r="691" spans="1:18">
      <c r="A691" s="96"/>
      <c r="B691" s="96"/>
      <c r="C691" s="87"/>
      <c r="D691" s="109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</row>
    <row r="692" spans="1:18">
      <c r="A692" s="96"/>
      <c r="B692" s="96"/>
      <c r="C692" s="87"/>
      <c r="D692" s="109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</row>
    <row r="693" spans="1:18">
      <c r="A693" s="96"/>
      <c r="B693" s="96"/>
      <c r="C693" s="87"/>
      <c r="D693" s="109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</row>
    <row r="694" spans="1:18">
      <c r="A694" s="96"/>
      <c r="B694" s="96"/>
      <c r="C694" s="87"/>
      <c r="D694" s="109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</row>
    <row r="695" spans="1:18">
      <c r="A695" s="96"/>
      <c r="B695" s="96"/>
      <c r="C695" s="87"/>
      <c r="D695" s="109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</row>
    <row r="696" spans="1:18">
      <c r="A696" s="96"/>
      <c r="B696" s="96"/>
      <c r="C696" s="87"/>
      <c r="D696" s="109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</row>
    <row r="697" spans="1:18">
      <c r="A697" s="96"/>
      <c r="B697" s="96"/>
      <c r="C697" s="87"/>
      <c r="D697" s="109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</row>
    <row r="698" spans="1:18">
      <c r="A698" s="96"/>
      <c r="B698" s="96"/>
      <c r="C698" s="87"/>
      <c r="D698" s="109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</row>
    <row r="699" spans="1:18">
      <c r="A699" s="96"/>
      <c r="B699" s="96"/>
      <c r="C699" s="87"/>
      <c r="D699" s="109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</row>
    <row r="700" spans="1:18">
      <c r="A700" s="96"/>
      <c r="B700" s="96"/>
      <c r="C700" s="87"/>
      <c r="D700" s="109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</row>
    <row r="701" spans="1:18">
      <c r="A701" s="96"/>
      <c r="B701" s="96"/>
      <c r="C701" s="87"/>
      <c r="D701" s="109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</row>
    <row r="702" spans="1:18">
      <c r="A702" s="96"/>
      <c r="B702" s="96"/>
      <c r="C702" s="87"/>
      <c r="D702" s="109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</row>
    <row r="703" spans="1:18">
      <c r="A703" s="96"/>
      <c r="B703" s="96"/>
      <c r="C703" s="87"/>
      <c r="D703" s="109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</row>
    <row r="704" spans="1:18">
      <c r="A704" s="96"/>
      <c r="B704" s="96"/>
      <c r="C704" s="87"/>
      <c r="D704" s="109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</row>
    <row r="705" spans="1:18">
      <c r="A705" s="96"/>
      <c r="B705" s="96"/>
      <c r="C705" s="87"/>
      <c r="D705" s="109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</row>
    <row r="706" spans="1:18">
      <c r="A706" s="96"/>
      <c r="B706" s="96"/>
      <c r="C706" s="87"/>
      <c r="D706" s="109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</row>
    <row r="707" spans="1:18">
      <c r="A707" s="96"/>
      <c r="B707" s="96"/>
      <c r="C707" s="87"/>
      <c r="D707" s="109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</row>
    <row r="708" spans="1:18">
      <c r="A708" s="96"/>
      <c r="B708" s="96"/>
      <c r="C708" s="87"/>
      <c r="D708" s="109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</row>
    <row r="709" spans="1:18">
      <c r="A709" s="96"/>
      <c r="B709" s="96"/>
      <c r="C709" s="87"/>
      <c r="D709" s="109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</row>
    <row r="710" spans="1:18">
      <c r="A710" s="96"/>
      <c r="B710" s="96"/>
      <c r="C710" s="87"/>
      <c r="D710" s="109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</row>
    <row r="711" spans="1:18">
      <c r="A711" s="96"/>
      <c r="B711" s="96"/>
      <c r="C711" s="87"/>
      <c r="D711" s="109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</row>
    <row r="712" spans="1:18">
      <c r="A712" s="96"/>
      <c r="B712" s="96"/>
      <c r="C712" s="87"/>
      <c r="D712" s="109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</row>
    <row r="713" spans="1:18">
      <c r="A713" s="96"/>
      <c r="B713" s="96"/>
      <c r="C713" s="87"/>
      <c r="D713" s="109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</row>
    <row r="714" spans="1:18">
      <c r="A714" s="96"/>
      <c r="B714" s="96"/>
      <c r="C714" s="87"/>
      <c r="D714" s="109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</row>
    <row r="715" spans="1:18">
      <c r="A715" s="96"/>
      <c r="B715" s="96"/>
      <c r="C715" s="87"/>
      <c r="D715" s="109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</row>
    <row r="716" spans="1:18">
      <c r="A716" s="96"/>
      <c r="B716" s="96"/>
      <c r="C716" s="87"/>
      <c r="D716" s="109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</row>
    <row r="717" spans="1:18">
      <c r="A717" s="96"/>
      <c r="B717" s="96"/>
      <c r="C717" s="87"/>
      <c r="D717" s="109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</row>
    <row r="718" spans="1:18">
      <c r="A718" s="96"/>
      <c r="B718" s="96"/>
      <c r="C718" s="87"/>
      <c r="D718" s="109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</row>
    <row r="719" spans="1:18">
      <c r="A719" s="96"/>
      <c r="B719" s="96"/>
      <c r="C719" s="87"/>
      <c r="D719" s="109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</row>
    <row r="720" spans="1:18">
      <c r="A720" s="96"/>
      <c r="B720" s="96"/>
      <c r="C720" s="87"/>
      <c r="D720" s="109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</row>
    <row r="721" spans="1:18">
      <c r="A721" s="96"/>
      <c r="B721" s="96"/>
      <c r="C721" s="87"/>
      <c r="D721" s="109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</row>
    <row r="722" spans="1:18">
      <c r="A722" s="96"/>
      <c r="B722" s="96"/>
      <c r="C722" s="87"/>
      <c r="D722" s="109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</row>
    <row r="723" spans="1:18">
      <c r="A723" s="96"/>
      <c r="B723" s="96"/>
      <c r="C723" s="87"/>
      <c r="D723" s="109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</row>
    <row r="724" spans="1:18">
      <c r="A724" s="96"/>
      <c r="B724" s="96"/>
      <c r="C724" s="87"/>
      <c r="D724" s="109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</row>
    <row r="725" spans="1:18">
      <c r="A725" s="96"/>
      <c r="B725" s="96"/>
      <c r="C725" s="87"/>
      <c r="D725" s="109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</row>
    <row r="726" spans="1:18">
      <c r="A726" s="96"/>
      <c r="B726" s="96"/>
      <c r="C726" s="87"/>
      <c r="D726" s="109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</row>
    <row r="727" spans="1:18">
      <c r="A727" s="96"/>
      <c r="B727" s="96"/>
      <c r="C727" s="87"/>
      <c r="D727" s="109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</row>
    <row r="728" spans="1:18">
      <c r="A728" s="96"/>
      <c r="B728" s="96"/>
      <c r="C728" s="87"/>
      <c r="D728" s="109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</row>
    <row r="729" spans="1:18">
      <c r="A729" s="96"/>
      <c r="B729" s="96"/>
      <c r="C729" s="87"/>
      <c r="D729" s="109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</row>
    <row r="730" spans="1:18">
      <c r="A730" s="96"/>
      <c r="B730" s="96"/>
      <c r="C730" s="87"/>
      <c r="D730" s="109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</row>
    <row r="731" spans="1:18">
      <c r="A731" s="96"/>
      <c r="B731" s="96"/>
      <c r="C731" s="87"/>
      <c r="D731" s="109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</row>
    <row r="732" spans="1:18">
      <c r="A732" s="96"/>
      <c r="B732" s="96"/>
      <c r="C732" s="87"/>
      <c r="D732" s="109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</row>
    <row r="733" spans="1:18">
      <c r="A733" s="96"/>
      <c r="B733" s="96"/>
      <c r="C733" s="87"/>
      <c r="D733" s="109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</row>
    <row r="734" spans="1:18">
      <c r="A734" s="96"/>
      <c r="B734" s="96"/>
      <c r="C734" s="87"/>
      <c r="D734" s="109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</row>
    <row r="735" spans="1:18">
      <c r="A735" s="96"/>
      <c r="B735" s="96"/>
      <c r="C735" s="87"/>
      <c r="D735" s="109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</row>
    <row r="736" spans="1:18">
      <c r="A736" s="96"/>
      <c r="B736" s="96"/>
      <c r="C736" s="87"/>
      <c r="D736" s="109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</row>
    <row r="737" spans="1:18">
      <c r="A737" s="96"/>
      <c r="B737" s="96"/>
      <c r="C737" s="87"/>
      <c r="D737" s="109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</row>
    <row r="738" spans="1:18">
      <c r="A738" s="96"/>
      <c r="B738" s="96"/>
      <c r="C738" s="87"/>
      <c r="D738" s="109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</row>
    <row r="739" spans="1:18">
      <c r="A739" s="96"/>
      <c r="B739" s="96"/>
      <c r="C739" s="87"/>
      <c r="D739" s="109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</row>
    <row r="740" spans="1:18">
      <c r="A740" s="96"/>
      <c r="B740" s="96"/>
      <c r="C740" s="87"/>
      <c r="D740" s="109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</row>
    <row r="741" spans="1:18">
      <c r="A741" s="96"/>
      <c r="B741" s="96"/>
      <c r="C741" s="87"/>
      <c r="D741" s="109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</row>
    <row r="742" spans="1:18">
      <c r="A742" s="96"/>
      <c r="B742" s="96"/>
      <c r="C742" s="87"/>
      <c r="D742" s="109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</row>
    <row r="743" spans="1:18">
      <c r="A743" s="96"/>
      <c r="B743" s="96"/>
      <c r="C743" s="87"/>
      <c r="D743" s="109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</row>
    <row r="744" spans="1:18">
      <c r="A744" s="96"/>
      <c r="B744" s="96"/>
      <c r="C744" s="87"/>
      <c r="D744" s="109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</row>
    <row r="745" spans="1:18">
      <c r="A745" s="96"/>
      <c r="B745" s="96"/>
      <c r="C745" s="87"/>
      <c r="D745" s="109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</row>
    <row r="746" spans="1:18">
      <c r="A746" s="96"/>
      <c r="B746" s="96"/>
      <c r="C746" s="87"/>
      <c r="D746" s="109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</row>
    <row r="747" spans="1:18">
      <c r="A747" s="96"/>
      <c r="B747" s="96"/>
      <c r="C747" s="87"/>
      <c r="D747" s="109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</row>
    <row r="748" spans="1:18">
      <c r="A748" s="96"/>
      <c r="B748" s="96"/>
      <c r="C748" s="87"/>
      <c r="D748" s="109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</row>
    <row r="749" spans="1:18">
      <c r="A749" s="96"/>
      <c r="B749" s="96"/>
      <c r="C749" s="87"/>
      <c r="D749" s="109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</row>
    <row r="750" spans="1:18">
      <c r="A750" s="96"/>
      <c r="B750" s="96"/>
      <c r="C750" s="87"/>
      <c r="D750" s="109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</row>
    <row r="751" spans="1:18">
      <c r="A751" s="96"/>
      <c r="B751" s="96"/>
      <c r="C751" s="87"/>
      <c r="D751" s="109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</row>
    <row r="752" spans="1:18">
      <c r="A752" s="96"/>
      <c r="B752" s="96"/>
      <c r="C752" s="87"/>
      <c r="D752" s="109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</row>
    <row r="753" spans="1:18">
      <c r="A753" s="96"/>
      <c r="B753" s="96"/>
      <c r="C753" s="87"/>
      <c r="D753" s="109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</row>
    <row r="754" spans="1:18">
      <c r="A754" s="96"/>
      <c r="B754" s="96"/>
      <c r="C754" s="87"/>
      <c r="D754" s="109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</row>
    <row r="755" spans="1:18">
      <c r="A755" s="96"/>
      <c r="B755" s="96"/>
      <c r="C755" s="87"/>
      <c r="D755" s="109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</row>
    <row r="756" spans="1:18">
      <c r="A756" s="96"/>
      <c r="B756" s="96"/>
      <c r="C756" s="87"/>
      <c r="D756" s="109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</row>
    <row r="757" spans="1:18">
      <c r="A757" s="96"/>
      <c r="B757" s="96"/>
      <c r="C757" s="87"/>
      <c r="D757" s="109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</row>
    <row r="758" spans="1:18">
      <c r="A758" s="96"/>
      <c r="B758" s="96"/>
      <c r="C758" s="87"/>
      <c r="D758" s="109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</row>
    <row r="759" spans="1:18">
      <c r="A759" s="96"/>
      <c r="B759" s="96"/>
      <c r="C759" s="87"/>
      <c r="D759" s="109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</row>
    <row r="760" spans="1:18">
      <c r="A760" s="96"/>
      <c r="B760" s="96"/>
      <c r="C760" s="87"/>
      <c r="D760" s="109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</row>
    <row r="761" spans="1:18">
      <c r="A761" s="96"/>
      <c r="B761" s="96"/>
      <c r="C761" s="87"/>
      <c r="D761" s="109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</row>
    <row r="762" spans="1:18">
      <c r="A762" s="96"/>
      <c r="B762" s="96"/>
      <c r="C762" s="87"/>
      <c r="D762" s="109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</row>
    <row r="763" spans="1:18">
      <c r="A763" s="96"/>
      <c r="B763" s="96"/>
      <c r="C763" s="87"/>
      <c r="D763" s="109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</row>
    <row r="764" spans="1:18">
      <c r="A764" s="96"/>
      <c r="B764" s="96"/>
      <c r="C764" s="87"/>
      <c r="D764" s="109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</row>
    <row r="765" spans="1:18">
      <c r="A765" s="96"/>
      <c r="B765" s="96"/>
      <c r="C765" s="87"/>
      <c r="D765" s="109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</row>
    <row r="766" spans="1:18">
      <c r="A766" s="96"/>
      <c r="B766" s="96"/>
      <c r="C766" s="87"/>
      <c r="D766" s="109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</row>
    <row r="767" spans="1:18">
      <c r="A767" s="96"/>
      <c r="B767" s="96"/>
      <c r="C767" s="87"/>
      <c r="D767" s="109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</row>
    <row r="768" spans="1:18">
      <c r="A768" s="96"/>
      <c r="B768" s="96"/>
      <c r="C768" s="87"/>
      <c r="D768" s="109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</row>
    <row r="769" spans="1:18">
      <c r="A769" s="96"/>
      <c r="B769" s="96"/>
      <c r="C769" s="87"/>
      <c r="D769" s="109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</row>
    <row r="770" spans="1:18">
      <c r="A770" s="96"/>
      <c r="B770" s="96"/>
      <c r="C770" s="87"/>
      <c r="D770" s="109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</row>
    <row r="771" spans="1:18">
      <c r="A771" s="96"/>
      <c r="B771" s="96"/>
      <c r="C771" s="87"/>
      <c r="D771" s="109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</row>
    <row r="772" spans="1:18">
      <c r="A772" s="96"/>
      <c r="B772" s="96"/>
      <c r="C772" s="87"/>
      <c r="D772" s="109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</row>
    <row r="773" spans="1:18">
      <c r="A773" s="96"/>
      <c r="B773" s="96"/>
      <c r="C773" s="87"/>
      <c r="D773" s="109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</row>
    <row r="774" spans="1:18">
      <c r="A774" s="96"/>
      <c r="B774" s="96"/>
      <c r="C774" s="87"/>
      <c r="D774" s="109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</row>
    <row r="775" spans="1:18">
      <c r="A775" s="96"/>
      <c r="B775" s="96"/>
      <c r="C775" s="87"/>
      <c r="D775" s="109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</row>
    <row r="776" spans="1:18">
      <c r="A776" s="96"/>
      <c r="B776" s="96"/>
      <c r="C776" s="87"/>
      <c r="D776" s="109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</row>
    <row r="777" spans="1:18">
      <c r="A777" s="96"/>
      <c r="B777" s="96"/>
      <c r="C777" s="87"/>
      <c r="D777" s="109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</row>
    <row r="778" spans="1:18">
      <c r="A778" s="96"/>
      <c r="B778" s="96"/>
      <c r="C778" s="87"/>
      <c r="D778" s="109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</row>
    <row r="779" spans="1:18">
      <c r="A779" s="96"/>
      <c r="B779" s="96"/>
      <c r="C779" s="87"/>
      <c r="D779" s="109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</row>
    <row r="780" spans="1:18">
      <c r="A780" s="96"/>
      <c r="B780" s="96"/>
      <c r="C780" s="87"/>
      <c r="D780" s="109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</row>
    <row r="781" spans="1:18">
      <c r="A781" s="96"/>
      <c r="B781" s="96"/>
      <c r="C781" s="87"/>
      <c r="D781" s="109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</row>
    <row r="782" spans="1:18">
      <c r="A782" s="96"/>
      <c r="B782" s="96"/>
      <c r="C782" s="87"/>
      <c r="D782" s="109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</row>
    <row r="783" spans="1:18">
      <c r="A783" s="96"/>
      <c r="B783" s="96"/>
      <c r="C783" s="87"/>
      <c r="D783" s="109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</row>
    <row r="784" spans="1:18">
      <c r="A784" s="96"/>
      <c r="B784" s="96"/>
      <c r="C784" s="87"/>
      <c r="D784" s="109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</row>
    <row r="785" spans="1:18">
      <c r="A785" s="96"/>
      <c r="B785" s="96"/>
      <c r="C785" s="87"/>
      <c r="D785" s="109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</row>
    <row r="786" spans="1:18">
      <c r="A786" s="96"/>
      <c r="B786" s="96"/>
      <c r="C786" s="87"/>
      <c r="D786" s="109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</row>
    <row r="787" spans="1:18">
      <c r="A787" s="96"/>
      <c r="B787" s="96"/>
      <c r="C787" s="87"/>
      <c r="D787" s="109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</row>
    <row r="788" spans="1:18">
      <c r="A788" s="96"/>
      <c r="B788" s="96"/>
      <c r="C788" s="87"/>
      <c r="D788" s="109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</row>
    <row r="789" spans="1:18">
      <c r="A789" s="96"/>
      <c r="B789" s="96"/>
      <c r="C789" s="87"/>
      <c r="D789" s="109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</row>
    <row r="790" spans="1:18">
      <c r="A790" s="96"/>
      <c r="B790" s="96"/>
      <c r="C790" s="87"/>
      <c r="D790" s="109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</row>
    <row r="791" spans="1:18">
      <c r="A791" s="96"/>
      <c r="B791" s="96"/>
      <c r="C791" s="87"/>
      <c r="D791" s="109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</row>
    <row r="792" spans="1:18">
      <c r="A792" s="96"/>
      <c r="B792" s="96"/>
      <c r="C792" s="87"/>
      <c r="D792" s="109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</row>
    <row r="793" spans="1:18">
      <c r="A793" s="96"/>
      <c r="B793" s="96"/>
      <c r="C793" s="87"/>
      <c r="D793" s="109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</row>
    <row r="794" spans="1:18">
      <c r="A794" s="96"/>
      <c r="B794" s="96"/>
      <c r="C794" s="87"/>
      <c r="D794" s="109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</row>
    <row r="795" spans="1:18">
      <c r="A795" s="96"/>
      <c r="B795" s="96"/>
      <c r="C795" s="87"/>
      <c r="D795" s="109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</row>
    <row r="796" spans="1:18">
      <c r="A796" s="96"/>
      <c r="B796" s="96"/>
      <c r="C796" s="87"/>
      <c r="D796" s="109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</row>
    <row r="797" spans="1:18">
      <c r="A797" s="96"/>
      <c r="B797" s="96"/>
      <c r="C797" s="87"/>
      <c r="D797" s="109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</row>
    <row r="798" spans="1:18">
      <c r="A798" s="96"/>
      <c r="B798" s="96"/>
      <c r="C798" s="87"/>
      <c r="D798" s="109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</row>
    <row r="799" spans="1:18">
      <c r="A799" s="96"/>
      <c r="B799" s="96"/>
      <c r="C799" s="87"/>
      <c r="D799" s="109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</row>
    <row r="800" spans="1:18">
      <c r="A800" s="96"/>
      <c r="B800" s="96"/>
      <c r="C800" s="87"/>
      <c r="D800" s="109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</row>
    <row r="801" spans="1:18">
      <c r="A801" s="96"/>
      <c r="B801" s="96"/>
      <c r="C801" s="87"/>
      <c r="D801" s="109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</row>
    <row r="802" spans="1:18">
      <c r="A802" s="96"/>
      <c r="B802" s="96"/>
      <c r="C802" s="87"/>
      <c r="D802" s="109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</row>
    <row r="803" spans="1:18">
      <c r="A803" s="96"/>
      <c r="B803" s="96"/>
      <c r="C803" s="87"/>
      <c r="D803" s="109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</row>
    <row r="804" spans="1:18">
      <c r="A804" s="96"/>
      <c r="B804" s="96"/>
      <c r="C804" s="87"/>
      <c r="D804" s="109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</row>
    <row r="805" spans="1:18">
      <c r="A805" s="96"/>
      <c r="B805" s="96"/>
      <c r="C805" s="87"/>
      <c r="D805" s="109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</row>
    <row r="806" spans="1:18">
      <c r="A806" s="96"/>
      <c r="B806" s="96"/>
      <c r="C806" s="87"/>
      <c r="D806" s="109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</row>
    <row r="807" spans="1:18">
      <c r="A807" s="96"/>
      <c r="B807" s="96"/>
      <c r="C807" s="87"/>
      <c r="D807" s="109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</row>
    <row r="808" spans="1:18">
      <c r="A808" s="96"/>
      <c r="B808" s="96"/>
      <c r="C808" s="87"/>
      <c r="D808" s="109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</row>
    <row r="809" spans="1:18">
      <c r="A809" s="96"/>
      <c r="B809" s="96"/>
      <c r="C809" s="87"/>
      <c r="D809" s="109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</row>
    <row r="810" spans="1:18">
      <c r="A810" s="96"/>
      <c r="B810" s="96"/>
      <c r="C810" s="87"/>
      <c r="D810" s="109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</row>
    <row r="811" spans="1:18">
      <c r="A811" s="96"/>
      <c r="B811" s="96"/>
      <c r="C811" s="87"/>
      <c r="D811" s="109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</row>
    <row r="812" spans="1:18">
      <c r="A812" s="96"/>
      <c r="B812" s="96"/>
      <c r="C812" s="87"/>
      <c r="D812" s="109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</row>
    <row r="813" spans="1:18">
      <c r="A813" s="96"/>
      <c r="B813" s="96"/>
      <c r="C813" s="87"/>
      <c r="D813" s="109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</row>
    <row r="814" spans="1:18">
      <c r="A814" s="96"/>
      <c r="B814" s="96"/>
      <c r="C814" s="87"/>
      <c r="D814" s="109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</row>
    <row r="815" spans="1:18">
      <c r="A815" s="96"/>
      <c r="B815" s="96"/>
      <c r="C815" s="87"/>
      <c r="D815" s="109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</row>
    <row r="816" spans="1:18">
      <c r="A816" s="96"/>
      <c r="B816" s="96"/>
      <c r="C816" s="87"/>
      <c r="D816" s="109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</row>
    <row r="817" spans="1:18">
      <c r="A817" s="96"/>
      <c r="B817" s="96"/>
      <c r="C817" s="87"/>
      <c r="D817" s="109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</row>
    <row r="818" spans="1:18">
      <c r="A818" s="96"/>
      <c r="B818" s="96"/>
      <c r="C818" s="87"/>
      <c r="D818" s="109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</row>
    <row r="819" spans="1:18">
      <c r="A819" s="96"/>
      <c r="B819" s="96"/>
      <c r="C819" s="87"/>
      <c r="D819" s="109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</row>
    <row r="820" spans="1:18">
      <c r="A820" s="96"/>
      <c r="B820" s="96"/>
      <c r="C820" s="87"/>
      <c r="D820" s="109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</row>
    <row r="821" spans="1:18">
      <c r="A821" s="96"/>
      <c r="B821" s="96"/>
      <c r="C821" s="87"/>
      <c r="D821" s="109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</row>
    <row r="822" spans="1:18">
      <c r="A822" s="96"/>
      <c r="B822" s="96"/>
      <c r="C822" s="87"/>
      <c r="D822" s="109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</row>
    <row r="823" spans="1:18">
      <c r="A823" s="96"/>
      <c r="B823" s="96"/>
      <c r="C823" s="87"/>
      <c r="D823" s="109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</row>
    <row r="824" spans="1:18">
      <c r="A824" s="96"/>
      <c r="B824" s="96"/>
      <c r="C824" s="87"/>
      <c r="D824" s="109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</row>
    <row r="825" spans="1:18">
      <c r="A825" s="96"/>
      <c r="B825" s="96"/>
      <c r="C825" s="87"/>
      <c r="D825" s="109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</row>
    <row r="826" spans="1:18">
      <c r="A826" s="96"/>
      <c r="B826" s="96"/>
      <c r="C826" s="87"/>
      <c r="D826" s="109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</row>
    <row r="827" spans="1:18">
      <c r="A827" s="96"/>
      <c r="B827" s="96"/>
      <c r="C827" s="87"/>
      <c r="D827" s="109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</row>
    <row r="828" spans="1:18">
      <c r="A828" s="96"/>
      <c r="B828" s="96"/>
      <c r="C828" s="87"/>
      <c r="D828" s="109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</row>
    <row r="829" spans="1:18">
      <c r="A829" s="96"/>
      <c r="B829" s="96"/>
      <c r="C829" s="87"/>
      <c r="D829" s="109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</row>
    <row r="830" spans="1:18">
      <c r="A830" s="96"/>
      <c r="B830" s="96"/>
      <c r="C830" s="87"/>
      <c r="D830" s="109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</row>
    <row r="831" spans="1:18">
      <c r="A831" s="96"/>
      <c r="B831" s="96"/>
      <c r="C831" s="87"/>
      <c r="D831" s="109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</row>
    <row r="832" spans="1:18">
      <c r="A832" s="96"/>
      <c r="B832" s="96"/>
      <c r="C832" s="87"/>
      <c r="D832" s="109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</row>
    <row r="833" spans="1:18">
      <c r="A833" s="96"/>
      <c r="B833" s="96"/>
      <c r="C833" s="87"/>
      <c r="D833" s="109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</row>
    <row r="834" spans="1:18">
      <c r="A834" s="96"/>
      <c r="B834" s="96"/>
      <c r="C834" s="87"/>
      <c r="D834" s="109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</row>
    <row r="835" spans="1:18">
      <c r="A835" s="96"/>
      <c r="B835" s="96"/>
      <c r="C835" s="87"/>
      <c r="D835" s="109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</row>
    <row r="836" spans="1:18">
      <c r="A836" s="96"/>
      <c r="B836" s="96"/>
      <c r="C836" s="87"/>
      <c r="D836" s="109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</row>
    <row r="837" spans="1:18">
      <c r="A837" s="96"/>
      <c r="B837" s="96"/>
      <c r="C837" s="87"/>
      <c r="D837" s="109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</row>
    <row r="838" spans="1:18">
      <c r="A838" s="96"/>
      <c r="B838" s="96"/>
      <c r="C838" s="87"/>
      <c r="D838" s="109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</row>
    <row r="839" spans="1:18">
      <c r="A839" s="96"/>
      <c r="B839" s="96"/>
      <c r="C839" s="87"/>
      <c r="D839" s="109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</row>
    <row r="840" spans="1:18">
      <c r="A840" s="96"/>
      <c r="B840" s="96"/>
      <c r="C840" s="87"/>
      <c r="D840" s="109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</row>
    <row r="841" spans="1:18">
      <c r="A841" s="96"/>
      <c r="B841" s="96"/>
      <c r="C841" s="87"/>
      <c r="D841" s="109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</row>
    <row r="842" spans="1:18">
      <c r="A842" s="96"/>
      <c r="B842" s="96"/>
      <c r="C842" s="87"/>
      <c r="D842" s="109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</row>
    <row r="843" spans="1:18">
      <c r="A843" s="96"/>
      <c r="B843" s="96"/>
      <c r="C843" s="87"/>
      <c r="D843" s="109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</row>
    <row r="844" spans="1:18">
      <c r="A844" s="96"/>
      <c r="B844" s="96"/>
      <c r="C844" s="87"/>
      <c r="D844" s="109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</row>
    <row r="845" spans="1:18">
      <c r="A845" s="96"/>
      <c r="B845" s="96"/>
      <c r="C845" s="87"/>
      <c r="D845" s="109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</row>
    <row r="846" spans="1:18">
      <c r="A846" s="96"/>
      <c r="B846" s="96"/>
      <c r="C846" s="87"/>
      <c r="D846" s="109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</row>
    <row r="847" spans="1:18">
      <c r="A847" s="96"/>
      <c r="B847" s="96"/>
      <c r="C847" s="87"/>
      <c r="D847" s="109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</row>
    <row r="848" spans="1:18">
      <c r="A848" s="96"/>
      <c r="B848" s="96"/>
      <c r="C848" s="87"/>
      <c r="D848" s="109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</row>
    <row r="849" spans="1:18">
      <c r="A849" s="96"/>
      <c r="B849" s="96"/>
      <c r="C849" s="87"/>
      <c r="D849" s="109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</row>
    <row r="850" spans="1:18">
      <c r="A850" s="96"/>
      <c r="B850" s="96"/>
      <c r="C850" s="87"/>
      <c r="D850" s="109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</row>
    <row r="851" spans="1:18">
      <c r="A851" s="96"/>
      <c r="B851" s="96"/>
      <c r="C851" s="87"/>
      <c r="D851" s="109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</row>
    <row r="852" spans="1:18">
      <c r="A852" s="96"/>
      <c r="B852" s="96"/>
      <c r="C852" s="87"/>
      <c r="D852" s="109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</row>
    <row r="853" spans="1:18">
      <c r="A853" s="96"/>
      <c r="B853" s="96"/>
      <c r="C853" s="87"/>
      <c r="D853" s="109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</row>
    <row r="854" spans="1:18">
      <c r="A854" s="96"/>
      <c r="B854" s="96"/>
      <c r="C854" s="87"/>
      <c r="D854" s="109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</row>
    <row r="855" spans="1:18">
      <c r="A855" s="96"/>
      <c r="B855" s="96"/>
      <c r="C855" s="87"/>
      <c r="D855" s="109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</row>
    <row r="856" spans="1:18">
      <c r="A856" s="96"/>
      <c r="B856" s="96"/>
      <c r="C856" s="87"/>
      <c r="D856" s="109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</row>
    <row r="857" spans="1:18">
      <c r="A857" s="96"/>
      <c r="B857" s="96"/>
      <c r="C857" s="87"/>
      <c r="D857" s="109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</row>
    <row r="858" spans="1:18">
      <c r="A858" s="96"/>
      <c r="B858" s="96"/>
      <c r="C858" s="87"/>
      <c r="D858" s="109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</row>
    <row r="859" spans="1:18">
      <c r="A859" s="96"/>
      <c r="B859" s="96"/>
      <c r="C859" s="87"/>
      <c r="D859" s="109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</row>
    <row r="860" spans="1:18">
      <c r="A860" s="96"/>
      <c r="B860" s="96"/>
      <c r="C860" s="87"/>
      <c r="D860" s="109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</row>
    <row r="861" spans="1:18">
      <c r="A861" s="96"/>
      <c r="B861" s="96"/>
      <c r="C861" s="87"/>
      <c r="D861" s="109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</row>
    <row r="862" spans="1:18">
      <c r="A862" s="96"/>
      <c r="B862" s="96"/>
      <c r="C862" s="87"/>
      <c r="D862" s="109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</row>
    <row r="863" spans="1:18">
      <c r="A863" s="96"/>
      <c r="B863" s="96"/>
      <c r="C863" s="87"/>
      <c r="D863" s="109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</row>
    <row r="864" spans="1:18">
      <c r="A864" s="96"/>
      <c r="B864" s="96"/>
      <c r="C864" s="87"/>
      <c r="D864" s="109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</row>
    <row r="865" spans="1:18">
      <c r="A865" s="96"/>
      <c r="B865" s="96"/>
      <c r="C865" s="87"/>
      <c r="D865" s="109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</row>
    <row r="866" spans="1:18">
      <c r="A866" s="96"/>
      <c r="B866" s="96"/>
      <c r="C866" s="87"/>
      <c r="D866" s="109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</row>
    <row r="867" spans="1:18">
      <c r="A867" s="96"/>
      <c r="B867" s="96"/>
      <c r="C867" s="87"/>
      <c r="D867" s="109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</row>
    <row r="868" spans="1:18">
      <c r="A868" s="96"/>
      <c r="B868" s="96"/>
      <c r="C868" s="87"/>
      <c r="D868" s="109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</row>
    <row r="869" spans="1:18">
      <c r="A869" s="96"/>
      <c r="B869" s="96"/>
      <c r="C869" s="87"/>
      <c r="D869" s="109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</row>
    <row r="870" spans="1:18">
      <c r="A870" s="96"/>
      <c r="B870" s="96"/>
      <c r="C870" s="87"/>
      <c r="D870" s="109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</row>
    <row r="871" spans="1:18">
      <c r="A871" s="96"/>
      <c r="B871" s="96"/>
      <c r="C871" s="87"/>
      <c r="D871" s="109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</row>
    <row r="872" spans="1:18">
      <c r="A872" s="96"/>
      <c r="B872" s="96"/>
      <c r="C872" s="87"/>
      <c r="D872" s="109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</row>
    <row r="873" spans="1:18">
      <c r="A873" s="96"/>
      <c r="B873" s="96"/>
      <c r="C873" s="87"/>
      <c r="D873" s="109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</row>
    <row r="874" spans="1:18">
      <c r="A874" s="96"/>
      <c r="B874" s="96"/>
      <c r="C874" s="87"/>
      <c r="D874" s="109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</row>
    <row r="875" spans="1:18">
      <c r="A875" s="96"/>
      <c r="B875" s="96"/>
      <c r="C875" s="87"/>
      <c r="D875" s="109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</row>
    <row r="876" spans="1:18">
      <c r="A876" s="96"/>
      <c r="B876" s="96"/>
      <c r="C876" s="87"/>
      <c r="D876" s="109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</row>
    <row r="877" spans="1:18">
      <c r="A877" s="96"/>
      <c r="B877" s="96"/>
      <c r="C877" s="87"/>
      <c r="D877" s="109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</row>
    <row r="878" spans="1:18">
      <c r="A878" s="96"/>
      <c r="B878" s="96"/>
      <c r="C878" s="87"/>
      <c r="D878" s="109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</row>
    <row r="879" spans="1:18">
      <c r="A879" s="96"/>
      <c r="B879" s="96"/>
      <c r="C879" s="87"/>
      <c r="D879" s="109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</row>
    <row r="880" spans="1:18">
      <c r="A880" s="96"/>
      <c r="B880" s="96"/>
      <c r="C880" s="87"/>
      <c r="D880" s="109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</row>
    <row r="881" spans="1:18">
      <c r="A881" s="96"/>
      <c r="B881" s="96"/>
      <c r="C881" s="87"/>
      <c r="D881" s="109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</row>
    <row r="882" spans="1:18">
      <c r="A882" s="96"/>
      <c r="B882" s="96"/>
      <c r="C882" s="87"/>
      <c r="D882" s="109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</row>
    <row r="883" spans="1:18">
      <c r="A883" s="96"/>
      <c r="B883" s="96"/>
      <c r="C883" s="87"/>
      <c r="D883" s="109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</row>
    <row r="884" spans="1:18">
      <c r="A884" s="96"/>
      <c r="B884" s="96"/>
      <c r="C884" s="87"/>
      <c r="D884" s="109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</row>
    <row r="885" spans="1:18">
      <c r="A885" s="96"/>
      <c r="B885" s="96"/>
      <c r="C885" s="87"/>
      <c r="D885" s="109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</row>
    <row r="886" spans="1:18">
      <c r="A886" s="96"/>
      <c r="B886" s="96"/>
      <c r="C886" s="87"/>
      <c r="D886" s="109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</row>
    <row r="887" spans="1:18">
      <c r="A887" s="96"/>
      <c r="B887" s="96"/>
      <c r="C887" s="87"/>
      <c r="D887" s="109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</row>
    <row r="888" spans="1:18">
      <c r="A888" s="96"/>
      <c r="B888" s="96"/>
      <c r="C888" s="87"/>
      <c r="D888" s="109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</row>
    <row r="889" spans="1:18">
      <c r="A889" s="96"/>
      <c r="B889" s="96"/>
      <c r="C889" s="87"/>
      <c r="D889" s="109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</row>
    <row r="890" spans="1:18">
      <c r="A890" s="96"/>
      <c r="B890" s="96"/>
      <c r="C890" s="87"/>
      <c r="D890" s="109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</row>
    <row r="891" spans="1:18">
      <c r="A891" s="96"/>
      <c r="B891" s="96"/>
      <c r="C891" s="87"/>
      <c r="D891" s="109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</row>
    <row r="892" spans="1:18">
      <c r="A892" s="96"/>
      <c r="B892" s="96"/>
      <c r="C892" s="87"/>
      <c r="D892" s="109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</row>
    <row r="893" spans="1:18">
      <c r="A893" s="96"/>
      <c r="B893" s="96"/>
      <c r="C893" s="87"/>
      <c r="D893" s="109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</row>
    <row r="894" spans="1:18">
      <c r="A894" s="96"/>
      <c r="B894" s="96"/>
      <c r="C894" s="87"/>
      <c r="D894" s="109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</row>
    <row r="895" spans="1:18">
      <c r="A895" s="96"/>
      <c r="B895" s="96"/>
      <c r="C895" s="87"/>
      <c r="D895" s="109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</row>
    <row r="896" spans="1:18">
      <c r="A896" s="96"/>
      <c r="B896" s="96"/>
      <c r="C896" s="87"/>
      <c r="D896" s="109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</row>
    <row r="897" spans="1:18">
      <c r="A897" s="96"/>
      <c r="B897" s="96"/>
      <c r="C897" s="87"/>
      <c r="D897" s="109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</row>
    <row r="898" spans="1:18">
      <c r="A898" s="96"/>
      <c r="B898" s="96"/>
      <c r="C898" s="87"/>
      <c r="D898" s="109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</row>
    <row r="899" spans="1:18">
      <c r="A899" s="96"/>
      <c r="B899" s="96"/>
      <c r="C899" s="87"/>
      <c r="D899" s="109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</row>
    <row r="900" spans="1:18">
      <c r="A900" s="96"/>
      <c r="B900" s="96"/>
      <c r="C900" s="87"/>
      <c r="D900" s="109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</row>
    <row r="901" spans="1:18">
      <c r="A901" s="96"/>
      <c r="B901" s="96"/>
      <c r="C901" s="87"/>
      <c r="D901" s="109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</row>
    <row r="902" spans="1:18">
      <c r="A902" s="96"/>
      <c r="B902" s="96"/>
      <c r="C902" s="87"/>
      <c r="D902" s="109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</row>
    <row r="903" spans="1:18">
      <c r="A903" s="96"/>
      <c r="B903" s="96"/>
      <c r="C903" s="87"/>
      <c r="D903" s="109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</row>
    <row r="904" spans="1:18">
      <c r="A904" s="96"/>
      <c r="B904" s="96"/>
      <c r="C904" s="87"/>
      <c r="D904" s="109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</row>
    <row r="905" spans="1:18">
      <c r="A905" s="96"/>
      <c r="B905" s="96"/>
      <c r="C905" s="87"/>
      <c r="D905" s="109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</row>
    <row r="906" spans="1:18">
      <c r="A906" s="96"/>
      <c r="B906" s="96"/>
      <c r="C906" s="87"/>
      <c r="D906" s="109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</row>
    <row r="907" spans="1:18">
      <c r="A907" s="96"/>
      <c r="B907" s="96"/>
      <c r="C907" s="87"/>
      <c r="D907" s="109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</row>
    <row r="908" spans="1:18">
      <c r="A908" s="96"/>
      <c r="B908" s="96"/>
      <c r="C908" s="87"/>
      <c r="D908" s="109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</row>
    <row r="909" spans="1:18">
      <c r="A909" s="96"/>
      <c r="B909" s="96"/>
      <c r="C909" s="87"/>
      <c r="D909" s="109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</row>
    <row r="910" spans="1:18">
      <c r="A910" s="96"/>
      <c r="B910" s="96"/>
      <c r="C910" s="87"/>
      <c r="D910" s="109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</row>
    <row r="911" spans="1:18">
      <c r="A911" s="96"/>
      <c r="B911" s="96"/>
      <c r="C911" s="87"/>
      <c r="D911" s="109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</row>
    <row r="912" spans="1:18">
      <c r="A912" s="96"/>
      <c r="B912" s="96"/>
      <c r="C912" s="87"/>
      <c r="D912" s="109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</row>
    <row r="913" spans="1:18">
      <c r="A913" s="96"/>
      <c r="B913" s="96"/>
      <c r="C913" s="87"/>
      <c r="D913" s="109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</row>
    <row r="914" spans="1:18">
      <c r="A914" s="96"/>
      <c r="B914" s="96"/>
      <c r="C914" s="87"/>
      <c r="D914" s="109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</row>
    <row r="915" spans="1:18">
      <c r="A915" s="96"/>
      <c r="B915" s="96"/>
      <c r="C915" s="87"/>
      <c r="D915" s="109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</row>
    <row r="916" spans="1:18">
      <c r="A916" s="96"/>
      <c r="B916" s="96"/>
      <c r="C916" s="87"/>
      <c r="D916" s="109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</row>
    <row r="917" spans="1:18">
      <c r="A917" s="96"/>
      <c r="B917" s="96"/>
      <c r="C917" s="87"/>
      <c r="D917" s="109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</row>
    <row r="918" spans="1:18">
      <c r="A918" s="96"/>
      <c r="B918" s="96"/>
      <c r="C918" s="87"/>
      <c r="D918" s="109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</row>
    <row r="919" spans="1:18">
      <c r="A919" s="96"/>
      <c r="B919" s="96"/>
      <c r="C919" s="87"/>
      <c r="D919" s="109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</row>
    <row r="920" spans="1:18">
      <c r="A920" s="96"/>
      <c r="B920" s="96"/>
      <c r="C920" s="87"/>
      <c r="D920" s="109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</row>
    <row r="921" spans="1:18">
      <c r="A921" s="96"/>
      <c r="B921" s="96"/>
      <c r="C921" s="87"/>
      <c r="D921" s="109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</row>
    <row r="922" spans="1:18">
      <c r="A922" s="96"/>
      <c r="B922" s="96"/>
      <c r="C922" s="87"/>
      <c r="D922" s="109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</row>
    <row r="923" spans="1:18">
      <c r="A923" s="96"/>
      <c r="B923" s="96"/>
      <c r="C923" s="87"/>
      <c r="D923" s="109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</row>
    <row r="924" spans="1:18">
      <c r="A924" s="96"/>
      <c r="B924" s="96"/>
      <c r="C924" s="87"/>
      <c r="D924" s="109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</row>
    <row r="925" spans="1:18">
      <c r="A925" s="96"/>
      <c r="B925" s="96"/>
      <c r="C925" s="87"/>
      <c r="D925" s="109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</row>
    <row r="926" spans="1:18">
      <c r="A926" s="96"/>
      <c r="B926" s="96"/>
      <c r="C926" s="87"/>
      <c r="D926" s="109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</row>
    <row r="927" spans="1:18">
      <c r="A927" s="96"/>
      <c r="B927" s="96"/>
      <c r="C927" s="87"/>
      <c r="D927" s="109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</row>
    <row r="928" spans="1:18">
      <c r="A928" s="96"/>
      <c r="B928" s="96"/>
      <c r="C928" s="87"/>
      <c r="D928" s="109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</row>
    <row r="929" spans="1:18">
      <c r="A929" s="96"/>
      <c r="B929" s="96"/>
      <c r="C929" s="87"/>
      <c r="D929" s="109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</row>
    <row r="930" spans="1:18">
      <c r="A930" s="96"/>
      <c r="B930" s="96"/>
      <c r="C930" s="87"/>
      <c r="D930" s="109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</row>
    <row r="931" spans="1:18">
      <c r="A931" s="96"/>
      <c r="B931" s="96"/>
      <c r="C931" s="87"/>
      <c r="D931" s="109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</row>
    <row r="932" spans="1:18">
      <c r="A932" s="96"/>
      <c r="B932" s="96"/>
      <c r="C932" s="87"/>
      <c r="D932" s="109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</row>
    <row r="933" spans="1:18">
      <c r="A933" s="96"/>
      <c r="B933" s="96"/>
      <c r="C933" s="87"/>
      <c r="D933" s="109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</row>
    <row r="934" spans="1:18">
      <c r="A934" s="96"/>
      <c r="B934" s="96"/>
      <c r="C934" s="87"/>
      <c r="D934" s="109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</row>
    <row r="935" spans="1:18">
      <c r="A935" s="96"/>
      <c r="B935" s="96"/>
      <c r="C935" s="87"/>
      <c r="D935" s="109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</row>
    <row r="936" spans="1:18">
      <c r="A936" s="96"/>
      <c r="B936" s="96"/>
      <c r="C936" s="87"/>
      <c r="D936" s="109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</row>
    <row r="937" spans="1:18">
      <c r="A937" s="96"/>
      <c r="B937" s="96"/>
      <c r="C937" s="87"/>
      <c r="D937" s="109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</row>
    <row r="938" spans="1:18">
      <c r="A938" s="96"/>
      <c r="B938" s="96"/>
      <c r="C938" s="87"/>
      <c r="D938" s="109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</row>
    <row r="939" spans="1:18">
      <c r="A939" s="96"/>
      <c r="B939" s="96"/>
      <c r="C939" s="87"/>
      <c r="D939" s="109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</row>
    <row r="940" spans="1:18">
      <c r="A940" s="96"/>
      <c r="B940" s="96"/>
      <c r="C940" s="87"/>
      <c r="D940" s="109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</row>
    <row r="941" spans="1:18">
      <c r="A941" s="96"/>
      <c r="B941" s="96"/>
      <c r="C941" s="87"/>
      <c r="D941" s="109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</row>
    <row r="942" spans="1:18">
      <c r="A942" s="96"/>
      <c r="B942" s="96"/>
      <c r="C942" s="87"/>
      <c r="D942" s="109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</row>
    <row r="943" spans="1:18">
      <c r="A943" s="96"/>
      <c r="B943" s="96"/>
      <c r="C943" s="87"/>
      <c r="D943" s="109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</row>
    <row r="944" spans="1:18">
      <c r="A944" s="96"/>
      <c r="B944" s="96"/>
      <c r="C944" s="87"/>
      <c r="D944" s="109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</row>
    <row r="945" spans="1:18">
      <c r="A945" s="96"/>
      <c r="B945" s="96"/>
      <c r="C945" s="87"/>
      <c r="D945" s="109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</row>
    <row r="946" spans="1:18">
      <c r="A946" s="96"/>
      <c r="B946" s="96"/>
      <c r="C946" s="87"/>
      <c r="D946" s="109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</row>
    <row r="947" spans="1:18">
      <c r="A947" s="96"/>
      <c r="B947" s="96"/>
      <c r="C947" s="87"/>
      <c r="D947" s="109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</row>
    <row r="948" spans="1:18">
      <c r="A948" s="96"/>
      <c r="B948" s="96"/>
      <c r="C948" s="87"/>
      <c r="D948" s="109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</row>
    <row r="949" spans="1:18">
      <c r="A949" s="96"/>
      <c r="B949" s="96"/>
      <c r="C949" s="87"/>
      <c r="D949" s="109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</row>
    <row r="950" spans="1:18">
      <c r="A950" s="96"/>
      <c r="B950" s="96"/>
      <c r="C950" s="87"/>
      <c r="D950" s="109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</row>
    <row r="951" spans="1:18">
      <c r="A951" s="96"/>
      <c r="B951" s="96"/>
      <c r="C951" s="87"/>
      <c r="D951" s="109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</row>
    <row r="952" spans="1:18">
      <c r="A952" s="96"/>
      <c r="B952" s="96"/>
      <c r="C952" s="87"/>
      <c r="D952" s="109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</row>
    <row r="953" spans="1:18">
      <c r="A953" s="96"/>
      <c r="B953" s="96"/>
      <c r="C953" s="87"/>
      <c r="D953" s="109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</row>
    <row r="954" spans="1:18">
      <c r="A954" s="96"/>
      <c r="B954" s="96"/>
      <c r="C954" s="87"/>
      <c r="D954" s="109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</row>
    <row r="955" spans="1:18">
      <c r="A955" s="96"/>
      <c r="B955" s="96"/>
      <c r="C955" s="87"/>
      <c r="D955" s="109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</row>
    <row r="956" spans="1:18">
      <c r="A956" s="96"/>
      <c r="B956" s="96"/>
      <c r="C956" s="87"/>
      <c r="D956" s="109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</row>
    <row r="957" spans="1:18">
      <c r="A957" s="96"/>
      <c r="B957" s="96"/>
      <c r="C957" s="87"/>
      <c r="D957" s="109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</row>
    <row r="958" spans="1:18">
      <c r="A958" s="96"/>
      <c r="B958" s="96"/>
      <c r="C958" s="87"/>
      <c r="D958" s="109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</row>
    <row r="959" spans="1:18">
      <c r="A959" s="96"/>
      <c r="B959" s="96"/>
      <c r="C959" s="87"/>
      <c r="D959" s="109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</row>
    <row r="960" spans="1:18">
      <c r="A960" s="96"/>
      <c r="B960" s="96"/>
      <c r="C960" s="87"/>
      <c r="D960" s="109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</row>
    <row r="961" spans="1:18">
      <c r="A961" s="96"/>
      <c r="B961" s="96"/>
      <c r="C961" s="87"/>
      <c r="D961" s="109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</row>
    <row r="962" spans="1:18">
      <c r="A962" s="96"/>
      <c r="B962" s="96"/>
      <c r="C962" s="87"/>
      <c r="D962" s="109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</row>
    <row r="963" spans="1:18">
      <c r="A963" s="96"/>
      <c r="B963" s="96"/>
      <c r="C963" s="87"/>
      <c r="D963" s="109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</row>
    <row r="964" spans="1:18">
      <c r="A964" s="96"/>
      <c r="B964" s="96"/>
      <c r="C964" s="87"/>
      <c r="D964" s="109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</row>
    <row r="965" spans="1:18">
      <c r="A965" s="96"/>
      <c r="B965" s="96"/>
      <c r="C965" s="87"/>
      <c r="D965" s="109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</row>
    <row r="966" spans="1:18">
      <c r="A966" s="96"/>
      <c r="B966" s="96"/>
      <c r="C966" s="87"/>
      <c r="D966" s="109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</row>
    <row r="967" spans="1:18">
      <c r="A967" s="96"/>
      <c r="B967" s="96"/>
      <c r="C967" s="87"/>
      <c r="D967" s="109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</row>
    <row r="968" spans="1:18">
      <c r="A968" s="96"/>
      <c r="B968" s="96"/>
      <c r="C968" s="87"/>
      <c r="D968" s="109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</row>
    <row r="969" spans="1:18">
      <c r="A969" s="96"/>
      <c r="B969" s="96"/>
      <c r="C969" s="87"/>
      <c r="D969" s="109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</row>
    <row r="970" spans="1:18">
      <c r="A970" s="96"/>
      <c r="B970" s="96"/>
      <c r="C970" s="87"/>
      <c r="D970" s="109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</row>
    <row r="971" spans="1:18">
      <c r="A971" s="96"/>
      <c r="B971" s="96"/>
      <c r="C971" s="87"/>
      <c r="D971" s="109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</row>
    <row r="972" spans="1:18">
      <c r="A972" s="96"/>
      <c r="B972" s="96"/>
      <c r="C972" s="87"/>
      <c r="D972" s="109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</row>
    <row r="973" spans="1:18">
      <c r="A973" s="96"/>
      <c r="B973" s="96"/>
      <c r="C973" s="87"/>
      <c r="D973" s="109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</row>
    <row r="974" spans="1:18">
      <c r="A974" s="96"/>
      <c r="B974" s="96"/>
      <c r="C974" s="87"/>
      <c r="D974" s="109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</row>
    <row r="975" spans="1:18">
      <c r="A975" s="96"/>
      <c r="B975" s="96"/>
      <c r="C975" s="87"/>
      <c r="D975" s="109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</row>
    <row r="976" spans="1:18">
      <c r="A976" s="96"/>
      <c r="B976" s="96"/>
      <c r="C976" s="87"/>
      <c r="D976" s="109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</row>
    <row r="977" spans="1:18">
      <c r="A977" s="96"/>
      <c r="B977" s="96"/>
      <c r="C977" s="87"/>
      <c r="D977" s="109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</row>
    <row r="978" spans="1:18">
      <c r="A978" s="96"/>
      <c r="B978" s="96"/>
      <c r="C978" s="87"/>
      <c r="D978" s="109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</row>
    <row r="979" spans="1:18">
      <c r="A979" s="96"/>
      <c r="B979" s="96"/>
      <c r="C979" s="87"/>
      <c r="D979" s="109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</row>
    <row r="980" spans="1:18">
      <c r="A980" s="96"/>
      <c r="B980" s="96"/>
      <c r="C980" s="87"/>
      <c r="D980" s="109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</row>
    <row r="981" spans="1:18">
      <c r="A981" s="96"/>
      <c r="B981" s="96"/>
      <c r="C981" s="87"/>
      <c r="D981" s="109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</row>
    <row r="982" spans="1:18">
      <c r="A982" s="96"/>
      <c r="B982" s="96"/>
      <c r="C982" s="87"/>
      <c r="D982" s="109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</row>
    <row r="983" spans="1:18">
      <c r="A983" s="96"/>
      <c r="B983" s="96"/>
      <c r="C983" s="87"/>
      <c r="D983" s="109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</row>
    <row r="984" spans="1:18">
      <c r="A984" s="96"/>
      <c r="B984" s="96"/>
      <c r="C984" s="87"/>
      <c r="D984" s="109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</row>
    <row r="985" spans="1:18">
      <c r="A985" s="96"/>
      <c r="B985" s="96"/>
      <c r="C985" s="87"/>
      <c r="D985" s="109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</row>
    <row r="986" spans="1:18">
      <c r="A986" s="96"/>
      <c r="B986" s="96"/>
      <c r="C986" s="87"/>
      <c r="D986" s="109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</row>
    <row r="987" spans="1:18">
      <c r="A987" s="96"/>
      <c r="B987" s="96"/>
      <c r="C987" s="87"/>
      <c r="D987" s="109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</row>
    <row r="988" spans="1:18">
      <c r="A988" s="96"/>
      <c r="B988" s="96"/>
      <c r="C988" s="87"/>
      <c r="D988" s="109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</row>
    <row r="989" spans="1:18">
      <c r="A989" s="96"/>
      <c r="B989" s="96"/>
      <c r="C989" s="87"/>
      <c r="D989" s="109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</row>
    <row r="990" spans="1:18">
      <c r="A990" s="96"/>
      <c r="B990" s="96"/>
      <c r="C990" s="87"/>
      <c r="D990" s="109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</row>
    <row r="991" spans="1:18">
      <c r="A991" s="96"/>
      <c r="B991" s="96"/>
      <c r="C991" s="87"/>
      <c r="D991" s="109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</row>
    <row r="992" spans="1:18">
      <c r="A992" s="96"/>
      <c r="B992" s="96"/>
      <c r="C992" s="87"/>
      <c r="D992" s="109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</row>
    <row r="993" spans="1:18">
      <c r="A993" s="96"/>
      <c r="B993" s="96"/>
      <c r="C993" s="87"/>
      <c r="D993" s="109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</row>
    <row r="994" spans="1:18">
      <c r="A994" s="96"/>
      <c r="B994" s="96"/>
      <c r="C994" s="87"/>
      <c r="D994" s="109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</row>
    <row r="995" spans="1:18">
      <c r="A995" s="96"/>
      <c r="B995" s="96"/>
      <c r="C995" s="87"/>
      <c r="D995" s="109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</row>
    <row r="996" spans="1:18">
      <c r="A996" s="96"/>
      <c r="B996" s="96"/>
      <c r="C996" s="87"/>
      <c r="D996" s="109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</row>
    <row r="997" spans="1:18">
      <c r="A997" s="96"/>
      <c r="B997" s="96"/>
      <c r="C997" s="87"/>
      <c r="D997" s="109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</row>
    <row r="998" spans="1:18">
      <c r="A998" s="96"/>
      <c r="B998" s="96"/>
      <c r="C998" s="87"/>
      <c r="D998" s="109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</row>
    <row r="999" spans="1:18">
      <c r="A999" s="96"/>
      <c r="B999" s="96"/>
      <c r="C999" s="87"/>
      <c r="D999" s="109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</row>
    <row r="1000" spans="1:18">
      <c r="A1000" s="96"/>
      <c r="B1000" s="96"/>
      <c r="C1000" s="87"/>
      <c r="D1000" s="109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</row>
    <row r="1001" spans="1:18">
      <c r="A1001" s="96"/>
      <c r="B1001" s="96"/>
      <c r="C1001" s="87"/>
      <c r="D1001" s="109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</row>
    <row r="1002" spans="1:18">
      <c r="A1002" s="96"/>
      <c r="B1002" s="96"/>
      <c r="C1002" s="87"/>
      <c r="D1002" s="109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</row>
    <row r="1003" spans="1:18">
      <c r="A1003" s="96"/>
      <c r="B1003" s="96"/>
      <c r="C1003" s="87"/>
      <c r="D1003" s="109"/>
      <c r="E1003" s="87"/>
      <c r="F1003" s="87"/>
      <c r="G1003" s="87"/>
      <c r="H1003" s="87"/>
      <c r="I1003" s="87"/>
      <c r="J1003" s="87"/>
      <c r="K1003" s="87"/>
      <c r="L1003" s="87"/>
      <c r="M1003" s="87"/>
      <c r="N1003" s="87"/>
      <c r="O1003" s="87"/>
      <c r="P1003" s="87"/>
      <c r="Q1003" s="87"/>
      <c r="R1003" s="87"/>
    </row>
    <row r="1004" spans="1:18">
      <c r="A1004" s="96"/>
      <c r="B1004" s="96"/>
      <c r="C1004" s="87"/>
      <c r="D1004" s="109"/>
      <c r="E1004" s="87"/>
      <c r="F1004" s="87"/>
      <c r="G1004" s="87"/>
      <c r="H1004" s="87"/>
      <c r="I1004" s="87"/>
      <c r="J1004" s="87"/>
      <c r="K1004" s="87"/>
      <c r="L1004" s="87"/>
      <c r="M1004" s="87"/>
      <c r="N1004" s="87"/>
      <c r="O1004" s="87"/>
      <c r="P1004" s="87"/>
      <c r="Q1004" s="87"/>
      <c r="R1004" s="87"/>
    </row>
    <row r="1005" spans="1:18">
      <c r="A1005" s="96"/>
      <c r="B1005" s="96"/>
      <c r="C1005" s="87"/>
      <c r="D1005" s="109"/>
      <c r="E1005" s="87"/>
      <c r="F1005" s="87"/>
      <c r="G1005" s="87"/>
      <c r="H1005" s="87"/>
      <c r="I1005" s="87"/>
      <c r="J1005" s="87"/>
      <c r="K1005" s="87"/>
      <c r="L1005" s="87"/>
      <c r="M1005" s="87"/>
      <c r="N1005" s="87"/>
      <c r="O1005" s="87"/>
      <c r="P1005" s="87"/>
      <c r="Q1005" s="87"/>
      <c r="R1005" s="87"/>
    </row>
    <row r="1006" spans="1:18">
      <c r="A1006" s="96"/>
      <c r="B1006" s="96"/>
      <c r="C1006" s="87"/>
      <c r="D1006" s="109"/>
      <c r="E1006" s="87"/>
      <c r="F1006" s="87"/>
      <c r="G1006" s="87"/>
      <c r="H1006" s="87"/>
      <c r="I1006" s="87"/>
      <c r="J1006" s="87"/>
      <c r="K1006" s="87"/>
      <c r="L1006" s="87"/>
      <c r="M1006" s="87"/>
      <c r="N1006" s="87"/>
      <c r="O1006" s="87"/>
      <c r="P1006" s="87"/>
      <c r="Q1006" s="87"/>
      <c r="R1006" s="87"/>
    </row>
    <row r="1007" spans="1:18">
      <c r="A1007" s="96"/>
      <c r="B1007" s="96"/>
      <c r="C1007" s="87"/>
      <c r="D1007" s="109"/>
      <c r="E1007" s="87"/>
      <c r="F1007" s="87"/>
      <c r="G1007" s="87"/>
      <c r="H1007" s="87"/>
      <c r="I1007" s="87"/>
      <c r="J1007" s="87"/>
      <c r="K1007" s="87"/>
      <c r="L1007" s="87"/>
      <c r="M1007" s="87"/>
      <c r="N1007" s="87"/>
      <c r="O1007" s="87"/>
      <c r="P1007" s="87"/>
      <c r="Q1007" s="87"/>
      <c r="R1007" s="87"/>
    </row>
    <row r="1008" spans="1:18">
      <c r="A1008" s="96"/>
      <c r="B1008" s="96"/>
      <c r="C1008" s="87"/>
      <c r="D1008" s="109"/>
      <c r="E1008" s="87"/>
      <c r="F1008" s="87"/>
      <c r="G1008" s="87"/>
      <c r="H1008" s="87"/>
      <c r="I1008" s="87"/>
      <c r="J1008" s="87"/>
      <c r="K1008" s="87"/>
      <c r="L1008" s="87"/>
      <c r="M1008" s="87"/>
      <c r="N1008" s="87"/>
      <c r="O1008" s="87"/>
      <c r="P1008" s="87"/>
      <c r="Q1008" s="87"/>
      <c r="R1008" s="87"/>
    </row>
    <row r="1009" spans="1:18">
      <c r="A1009" s="96"/>
      <c r="B1009" s="96"/>
      <c r="C1009" s="87"/>
      <c r="D1009" s="109"/>
      <c r="E1009" s="87"/>
      <c r="F1009" s="87"/>
      <c r="G1009" s="87"/>
      <c r="H1009" s="87"/>
      <c r="I1009" s="87"/>
      <c r="J1009" s="87"/>
      <c r="K1009" s="87"/>
      <c r="L1009" s="87"/>
      <c r="M1009" s="87"/>
      <c r="N1009" s="87"/>
      <c r="O1009" s="87"/>
      <c r="P1009" s="87"/>
      <c r="Q1009" s="87"/>
      <c r="R1009" s="87"/>
    </row>
  </sheetData>
  <customSheetViews>
    <customSheetView guid="{A04CA662-49CD-4078-B287-C9C19C6AE4EB}" filter="1" showAutoFilter="1">
      <pageMargins left="0.511811024" right="0.511811024" top="0.78740157499999996" bottom="0.78740157499999996" header="0.31496062000000002" footer="0.31496062000000002"/>
      <autoFilter ref="A12:F65" xr:uid="{199D2D88-98D7-4312-821D-5FFC9D7513C8}"/>
    </customSheetView>
  </customSheetViews>
  <dataValidations count="4">
    <dataValidation type="list" allowBlank="1" sqref="E13:E65" xr:uid="{00000000-0002-0000-0200-000000000000}">
      <formula1>"REFEIÇÃO,DINHEIRO"</formula1>
    </dataValidation>
    <dataValidation type="list" allowBlank="1" sqref="B13:B65" xr:uid="{00000000-0002-0000-0200-000001000000}">
      <formula1>"MARÇO,ABRIL,MAIO,JUNHO,JULHO,AGOSTO,SETEMBRO,OUTUBO,NOVEMBRO,DEZEMBRO"</formula1>
    </dataValidation>
    <dataValidation type="custom" allowBlank="1" showDropDown="1" sqref="A13:A65" xr:uid="{00000000-0002-0000-0200-000002000000}">
      <formula1>OR(NOT(ISERROR(DATEVALUE(A13))), AND(ISNUMBER(A13), LEFT(CELL("format", A13))="D"))</formula1>
    </dataValidation>
    <dataValidation type="custom" allowBlank="1" showDropDown="1" sqref="D13:D65" xr:uid="{00000000-0002-0000-0200-000003000000}">
      <formula1>AND(ISNUMBER(D13),(NOT(OR(NOT(ISERROR(DATEVALUE(D13))), AND(ISNUMBER(D13), LEFT(CELL("format", D13))="D")))))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CONTAS</vt:lpstr>
      <vt:lpstr>GANHO MENSAL</vt:lpstr>
      <vt:lpstr>GASTOS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Oliveira De Faria</cp:lastModifiedBy>
  <dcterms:modified xsi:type="dcterms:W3CDTF">2026-04-06T17:08:47Z</dcterms:modified>
</cp:coreProperties>
</file>